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e4e455abca7420/Documents/EISEN/DATASET/"/>
    </mc:Choice>
  </mc:AlternateContent>
  <xr:revisionPtr revIDLastSave="3" documentId="14_{E63069E2-D11F-4A8A-A183-8E97E5093A34}" xr6:coauthVersionLast="47" xr6:coauthVersionMax="47" xr10:uidLastSave="{6EC3243A-C2ED-4AC6-B2FE-043E939816A4}"/>
  <bookViews>
    <workbookView xWindow="-108" yWindow="-108" windowWidth="23256" windowHeight="12456" activeTab="1" xr2:uid="{90884CB8-88B5-4366-8DDC-0650A7FEB6E9}"/>
  </bookViews>
  <sheets>
    <sheet name="Dashboard" sheetId="8" r:id="rId1"/>
    <sheet name="Raw Data" sheetId="1" r:id="rId2"/>
    <sheet name="Payment Status Overview" sheetId="3" r:id="rId3"/>
    <sheet name="Communication Tracker" sheetId="4" r:id="rId4"/>
    <sheet name="Accountant Updated" sheetId="10" r:id="rId5"/>
  </sheet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<sst xmlns="http://schemas.openxmlformats.org/spreadsheetml/2006/main" count="444" uniqueCount="176">
  <si>
    <t>Tenant Name</t>
  </si>
  <si>
    <t>Unit #</t>
  </si>
  <si>
    <t>Payment Due Date</t>
  </si>
  <si>
    <t>Payment Status</t>
  </si>
  <si>
    <t>Follow-up Date</t>
  </si>
  <si>
    <t>Phone Call Made</t>
  </si>
  <si>
    <t>Email Sent</t>
  </si>
  <si>
    <t>Accountant Liaison</t>
  </si>
  <si>
    <t>Notes</t>
  </si>
  <si>
    <t>Xero Reference</t>
  </si>
  <si>
    <t>Date</t>
  </si>
  <si>
    <t>A101</t>
  </si>
  <si>
    <t>Yes</t>
  </si>
  <si>
    <t>A102</t>
  </si>
  <si>
    <t>No</t>
  </si>
  <si>
    <t>A103</t>
  </si>
  <si>
    <t>Overdue</t>
  </si>
  <si>
    <t>A104</t>
  </si>
  <si>
    <t>A105</t>
  </si>
  <si>
    <t>A106</t>
  </si>
  <si>
    <t>A107</t>
  </si>
  <si>
    <t>A108</t>
  </si>
  <si>
    <t>A109</t>
  </si>
  <si>
    <t>A110</t>
  </si>
  <si>
    <t>John Smith</t>
  </si>
  <si>
    <t>On Track</t>
  </si>
  <si>
    <t>Completed</t>
  </si>
  <si>
    <t>Payment received</t>
  </si>
  <si>
    <t>XR-001</t>
  </si>
  <si>
    <t>Maria Lopez</t>
  </si>
  <si>
    <t>Pending</t>
  </si>
  <si>
    <t>Awaiting confirmation</t>
  </si>
  <si>
    <t>XR-002</t>
  </si>
  <si>
    <t>David Chen</t>
  </si>
  <si>
    <t>Follow-up required</t>
  </si>
  <si>
    <t>XR-003</t>
  </si>
  <si>
    <t>Sarah Johnson</t>
  </si>
  <si>
    <t>Upcoming payment</t>
  </si>
  <si>
    <t>XR-004</t>
  </si>
  <si>
    <t>Ahmed Khan</t>
  </si>
  <si>
    <t>Partial payment</t>
  </si>
  <si>
    <t>XR-005</t>
  </si>
  <si>
    <t>Emily Davis</t>
  </si>
  <si>
    <t>Payment cleared</t>
  </si>
  <si>
    <t>XR-006</t>
  </si>
  <si>
    <t>Robert Brown</t>
  </si>
  <si>
    <t>Email sent</t>
  </si>
  <si>
    <t>XR-007</t>
  </si>
  <si>
    <t>Linda Garcia</t>
  </si>
  <si>
    <t>No response</t>
  </si>
  <si>
    <t>XR-008</t>
  </si>
  <si>
    <t>Kevin Wilson</t>
  </si>
  <si>
    <t>XR-009</t>
  </si>
  <si>
    <t>Olivia Martinez</t>
  </si>
  <si>
    <t>XR-010</t>
  </si>
  <si>
    <t>Thomas Lee</t>
  </si>
  <si>
    <t>A111</t>
  </si>
  <si>
    <t>XR-011</t>
  </si>
  <si>
    <t>Grace Kim</t>
  </si>
  <si>
    <t>A112</t>
  </si>
  <si>
    <t>XR-012</t>
  </si>
  <si>
    <t>Henry Adams</t>
  </si>
  <si>
    <t>A113</t>
  </si>
  <si>
    <t>XR-013</t>
  </si>
  <si>
    <t>Natalie Cruz</t>
  </si>
  <si>
    <t>A114</t>
  </si>
  <si>
    <t>XR-014</t>
  </si>
  <si>
    <t>George White</t>
  </si>
  <si>
    <t>A115</t>
  </si>
  <si>
    <t>XR-015</t>
  </si>
  <si>
    <t>Sophia Torres</t>
  </si>
  <si>
    <t>A116</t>
  </si>
  <si>
    <t>XR-016</t>
  </si>
  <si>
    <t>Michael Evans</t>
  </si>
  <si>
    <t>A117</t>
  </si>
  <si>
    <t>XR-017</t>
  </si>
  <si>
    <t>Anna Scott</t>
  </si>
  <si>
    <t>A118</t>
  </si>
  <si>
    <t>XR-018</t>
  </si>
  <si>
    <t>Jason Reed</t>
  </si>
  <si>
    <t>A119</t>
  </si>
  <si>
    <t>XR-019</t>
  </si>
  <si>
    <t>Laura Hill</t>
  </si>
  <si>
    <t>A120</t>
  </si>
  <si>
    <t>XR-020</t>
  </si>
  <si>
    <t>Chris Young</t>
  </si>
  <si>
    <t>A121</t>
  </si>
  <si>
    <t>XR-021</t>
  </si>
  <si>
    <t>Patricia Allen</t>
  </si>
  <si>
    <t>A122</t>
  </si>
  <si>
    <t>XR-022</t>
  </si>
  <si>
    <t>Steven Baker</t>
  </si>
  <si>
    <t>A123</t>
  </si>
  <si>
    <t>XR-023</t>
  </si>
  <si>
    <t>Jennifer Clark</t>
  </si>
  <si>
    <t>A124</t>
  </si>
  <si>
    <t>XR-024</t>
  </si>
  <si>
    <t>Brandon Lewis</t>
  </si>
  <si>
    <t>A125</t>
  </si>
  <si>
    <t>XR-025</t>
  </si>
  <si>
    <t>Chloe Rivera</t>
  </si>
  <si>
    <t>A126</t>
  </si>
  <si>
    <t>XR-026</t>
  </si>
  <si>
    <t>Ethan Moore</t>
  </si>
  <si>
    <t>A127</t>
  </si>
  <si>
    <t>XR-027</t>
  </si>
  <si>
    <t>Isabella Flores</t>
  </si>
  <si>
    <t>A128</t>
  </si>
  <si>
    <t>XR-028</t>
  </si>
  <si>
    <t>Jacob Hall</t>
  </si>
  <si>
    <t>A129</t>
  </si>
  <si>
    <t>XR-029</t>
  </si>
  <si>
    <t>Mia Allen</t>
  </si>
  <si>
    <t>A130</t>
  </si>
  <si>
    <t>XR-030</t>
  </si>
  <si>
    <t>Noah Scott</t>
  </si>
  <si>
    <t>A131</t>
  </si>
  <si>
    <t>XR-031</t>
  </si>
  <si>
    <t>Ava King</t>
  </si>
  <si>
    <t>A132</t>
  </si>
  <si>
    <t>XR-032</t>
  </si>
  <si>
    <t>Liam Wright</t>
  </si>
  <si>
    <t>A133</t>
  </si>
  <si>
    <t>XR-033</t>
  </si>
  <si>
    <t>Sophia Green</t>
  </si>
  <si>
    <t>A134</t>
  </si>
  <si>
    <t>XR-034</t>
  </si>
  <si>
    <t>Daniel Lewis</t>
  </si>
  <si>
    <t>A135</t>
  </si>
  <si>
    <t>XR-035</t>
  </si>
  <si>
    <t>Emma Carter</t>
  </si>
  <si>
    <t>A136</t>
  </si>
  <si>
    <t>XR-036</t>
  </si>
  <si>
    <t>Lucas Perez</t>
  </si>
  <si>
    <t>A137</t>
  </si>
  <si>
    <t>XR-037</t>
  </si>
  <si>
    <t>Charlotte Hughes</t>
  </si>
  <si>
    <t>A138</t>
  </si>
  <si>
    <t>XR-038</t>
  </si>
  <si>
    <t>Benjamin Ross</t>
  </si>
  <si>
    <t>A139</t>
  </si>
  <si>
    <t>XR-039</t>
  </si>
  <si>
    <t>Amelia Ward</t>
  </si>
  <si>
    <t>A140</t>
  </si>
  <si>
    <t>XR-040</t>
  </si>
  <si>
    <t>Mason Diaz</t>
  </si>
  <si>
    <t>A141</t>
  </si>
  <si>
    <t>XR-041</t>
  </si>
  <si>
    <t>Harper Long</t>
  </si>
  <si>
    <t>A142</t>
  </si>
  <si>
    <t>XR-042</t>
  </si>
  <si>
    <t>Evelyn Price</t>
  </si>
  <si>
    <t>A143</t>
  </si>
  <si>
    <t>XR-043</t>
  </si>
  <si>
    <t>James Bell</t>
  </si>
  <si>
    <t>A144</t>
  </si>
  <si>
    <t>XR-044</t>
  </si>
  <si>
    <t>Abigail Rivera</t>
  </si>
  <si>
    <t>A145</t>
  </si>
  <si>
    <t>XR-045</t>
  </si>
  <si>
    <t>Oliver Brooks</t>
  </si>
  <si>
    <t>A146</t>
  </si>
  <si>
    <t>XR-046</t>
  </si>
  <si>
    <t>Row Labels</t>
  </si>
  <si>
    <t>Grand Total</t>
  </si>
  <si>
    <t>Column Labels</t>
  </si>
  <si>
    <t>XR-047</t>
  </si>
  <si>
    <t>XR-048</t>
  </si>
  <si>
    <t>XR-049</t>
  </si>
  <si>
    <t>XR-050</t>
  </si>
  <si>
    <t>XR-051</t>
  </si>
  <si>
    <t>Count of Email Sent</t>
  </si>
  <si>
    <t>(blank)</t>
  </si>
  <si>
    <t>Count of Tenant Name</t>
  </si>
  <si>
    <t>(All)</t>
  </si>
  <si>
    <t>Count of Payment Due Date2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</si>
</sst>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">
    <dxf>
      <numFmt numFmtId="164" formatCode="[$-F800]dddd\,\ mmmm\ dd\,\ yyyy"/>
    </dxf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 Estate Payments.xlsx]Payment Status Overview!PivotTable3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Status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Status Overview'!$B$5:$B$6</c:f>
              <c:strCache>
                <c:ptCount val="1"/>
                <c:pt idx="0">
                  <c:v>4/29/2026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Status Overview'!$A$7:$A$10</c:f>
              <c:strCache>
                <c:ptCount val="3"/>
                <c:pt idx="0">
                  <c:v>On Track</c:v>
                </c:pt>
                <c:pt idx="1">
                  <c:v>Overdue</c:v>
                </c:pt>
                <c:pt idx="2">
                  <c:v>(blank)</c:v>
                </c:pt>
              </c:strCache>
            </c:strRef>
          </c:cat>
          <c:val>
            <c:numRef>
              <c:f>'Payment Status Overview'!$B$7:$B$10</c:f>
              <c:numCache>
                <c:formatCode>General</c:formatCode>
                <c:ptCount val="3"/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C-45D0-8516-1A0BC4AF84BE}"/>
            </c:ext>
          </c:extLst>
        </c:ser>
        <c:ser>
          <c:idx val="1"/>
          <c:order val="1"/>
          <c:tx>
            <c:strRef>
              <c:f>'Payment Status Overview'!$C$5:$C$6</c:f>
              <c:strCache>
                <c:ptCount val="1"/>
                <c:pt idx="0">
                  <c:v>4/30/2026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'Payment Status Overview'!$A$7:$A$10</c:f>
              <c:strCache>
                <c:ptCount val="3"/>
                <c:pt idx="0">
                  <c:v>On Track</c:v>
                </c:pt>
                <c:pt idx="1">
                  <c:v>Overdue</c:v>
                </c:pt>
                <c:pt idx="2">
                  <c:v>(blank)</c:v>
                </c:pt>
              </c:strCache>
            </c:strRef>
          </c:cat>
          <c:val>
            <c:numRef>
              <c:f>'Payment Status Overview'!$C$7:$C$10</c:f>
              <c:numCache>
                <c:formatCode>General</c:formatCode>
                <c:ptCount val="3"/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7C-45D0-8516-1A0BC4AF84BE}"/>
            </c:ext>
          </c:extLst>
        </c:ser>
        <c:ser>
          <c:idx val="2"/>
          <c:order val="2"/>
          <c:tx>
            <c:strRef>
              <c:f>'Payment Status Overview'!$D$5:$D$6</c:f>
              <c:strCache>
                <c:ptCount val="1"/>
                <c:pt idx="0">
                  <c:v>5/1/2026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'Payment Status Overview'!$A$7:$A$10</c:f>
              <c:strCache>
                <c:ptCount val="3"/>
                <c:pt idx="0">
                  <c:v>On Track</c:v>
                </c:pt>
                <c:pt idx="1">
                  <c:v>Overdue</c:v>
                </c:pt>
                <c:pt idx="2">
                  <c:v>(blank)</c:v>
                </c:pt>
              </c:strCache>
            </c:strRef>
          </c:cat>
          <c:val>
            <c:numRef>
              <c:f>'Payment Status Overview'!$D$7:$D$10</c:f>
              <c:numCache>
                <c:formatCode>General</c:formatCode>
                <c:ptCount val="3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67C-45D0-8516-1A0BC4AF84BE}"/>
            </c:ext>
          </c:extLst>
        </c:ser>
        <c:ser>
          <c:idx val="3"/>
          <c:order val="3"/>
          <c:tx>
            <c:strRef>
              <c:f>'Payment Status Overview'!$E$5:$E$6</c:f>
              <c:strCache>
                <c:ptCount val="1"/>
                <c:pt idx="0">
                  <c:v>5/2/2026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'Payment Status Overview'!$A$7:$A$10</c:f>
              <c:strCache>
                <c:ptCount val="3"/>
                <c:pt idx="0">
                  <c:v>On Track</c:v>
                </c:pt>
                <c:pt idx="1">
                  <c:v>Overdue</c:v>
                </c:pt>
                <c:pt idx="2">
                  <c:v>(blank)</c:v>
                </c:pt>
              </c:strCache>
            </c:strRef>
          </c:cat>
          <c:val>
            <c:numRef>
              <c:f>'Payment Status Overview'!$E$7:$E$10</c:f>
              <c:numCache>
                <c:formatCode>General</c:formatCode>
                <c:ptCount val="3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7C-45D0-8516-1A0BC4AF84BE}"/>
            </c:ext>
          </c:extLst>
        </c:ser>
        <c:ser>
          <c:idx val="4"/>
          <c:order val="4"/>
          <c:tx>
            <c:strRef>
              <c:f>'Payment Status Overview'!$F$5:$F$6</c:f>
              <c:strCache>
                <c:ptCount val="1"/>
                <c:pt idx="0">
                  <c:v>5/3/2026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'Payment Status Overview'!$A$7:$A$10</c:f>
              <c:strCache>
                <c:ptCount val="3"/>
                <c:pt idx="0">
                  <c:v>On Track</c:v>
                </c:pt>
                <c:pt idx="1">
                  <c:v>Overdue</c:v>
                </c:pt>
                <c:pt idx="2">
                  <c:v>(blank)</c:v>
                </c:pt>
              </c:strCache>
            </c:strRef>
          </c:cat>
          <c:val>
            <c:numRef>
              <c:f>'Payment Status Overview'!$F$7:$F$10</c:f>
              <c:numCache>
                <c:formatCode>General</c:formatCode>
                <c:ptCount val="3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67C-45D0-8516-1A0BC4AF84BE}"/>
            </c:ext>
          </c:extLst>
        </c:ser>
        <c:ser>
          <c:idx val="5"/>
          <c:order val="5"/>
          <c:tx>
            <c:strRef>
              <c:f>'Payment Status Overview'!$G$5:$G$6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'Payment Status Overview'!$A$7:$A$10</c:f>
              <c:strCache>
                <c:ptCount val="3"/>
                <c:pt idx="0">
                  <c:v>On Track</c:v>
                </c:pt>
                <c:pt idx="1">
                  <c:v>Overdue</c:v>
                </c:pt>
                <c:pt idx="2">
                  <c:v>(blank)</c:v>
                </c:pt>
              </c:strCache>
            </c:strRef>
          </c:cat>
          <c:val>
            <c:numRef>
              <c:f>'Payment Status Overview'!$G$7:$G$10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E-367C-45D0-8516-1A0BC4AF8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7852960"/>
        <c:axId val="1027854208"/>
      </c:barChart>
      <c:catAx>
        <c:axId val="102785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854208"/>
        <c:crosses val="autoZero"/>
        <c:auto val="1"/>
        <c:lblAlgn val="ctr"/>
        <c:lblOffset val="100"/>
        <c:noMultiLvlLbl val="0"/>
      </c:catAx>
      <c:valAx>
        <c:axId val="102785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85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 Estate Payments.xlsx]Communication Tracker!PivotTable6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Communication Tracker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'Communication Tracker'!$B$4:$B$5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'Communication Tracker'!$A$6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'Communication Tracker'!$B$6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048-451E-9E89-77D1B6C48B60}"/>
            </c:ext>
          </c:extLst>
        </c:ser>
        <c:ser>
          <c:idx val="1"/>
          <c:order val="1"/>
          <c:tx>
            <c:strRef>
              <c:f>'Communication Tracker'!$C$4:$C$5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'Communication Tracker'!$A$6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'Communication Tracker'!$C$6</c:f>
              <c:numCache>
                <c:formatCode>General</c:formatCode>
                <c:ptCount val="1"/>
                <c:pt idx="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048-451E-9E89-77D1B6C48B60}"/>
            </c:ext>
          </c:extLst>
        </c:ser>
        <c:ser>
          <c:idx val="2"/>
          <c:order val="2"/>
          <c:tx>
            <c:strRef>
              <c:f>'Communication Tracker'!$D$4:$D$5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'Communication Tracker'!$A$6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'Communication Tracker'!$D$6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1-B048-451E-9E89-77D1B6C48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748176"/>
        <c:axId val="1127754000"/>
      </c:barChart>
      <c:catAx>
        <c:axId val="112774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754000"/>
        <c:crosses val="autoZero"/>
        <c:auto val="1"/>
        <c:lblAlgn val="ctr"/>
        <c:lblOffset val="100"/>
        <c:noMultiLvlLbl val="0"/>
      </c:catAx>
      <c:valAx>
        <c:axId val="112775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74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 Estate Payments.xlsx]Accountant Updated!PivotTable3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Accountant Updated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Accountant Updated!$B$3:$B$4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Accountant Updated!$A$5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Accountant Updated!$B$5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6-68B8-406C-B9D0-D3EBD0086014}"/>
            </c:ext>
          </c:extLst>
        </c:ser>
        <c:ser>
          <c:idx val="1"/>
          <c:order val="1"/>
          <c:tx>
            <c:strRef>
              <c:f>Accountant Updated!$C$3:$C$4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Accountant Updated!$A$5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Accountant Updated!$C$5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5-68B8-406C-B9D0-D3EBD0086014}"/>
            </c:ext>
          </c:extLst>
        </c:ser>
        <c:ser>
          <c:idx val="2"/>
          <c:order val="2"/>
          <c:tx>
            <c:strRef>
              <c:f>Accountant Updated!$D$3:$D$4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Accountant Updated!$A$5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Accountant Updated!$D$5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1A3-68B8-406C-B9D0-D3EBD0086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77536"/>
        <c:axId val="12584192"/>
      </c:barChart>
      <c:catAx>
        <c:axId val="1257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4192"/>
        <c:crosses val="autoZero"/>
        <c:auto val="1"/>
        <c:lblAlgn val="ctr"/>
        <c:lblOffset val="100"/>
        <c:noMultiLvlLbl val="0"/>
      </c:catAx>
      <c:valAx>
        <c:axId val="1258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 Estate Payments.xlsx]Payment Status Overview!PivotTable3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Status Overview'!$B$5:$B$6</c:f>
              <c:strCache>
                <c:ptCount val="1"/>
                <c:pt idx="0">
                  <c:v>4/29/2026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Status Overview'!$A$7:$A$10</c:f>
              <c:strCache>
                <c:ptCount val="3"/>
                <c:pt idx="0">
                  <c:v>On Track</c:v>
                </c:pt>
                <c:pt idx="1">
                  <c:v>Overdue</c:v>
                </c:pt>
                <c:pt idx="2">
                  <c:v>(blank)</c:v>
                </c:pt>
              </c:strCache>
            </c:strRef>
          </c:cat>
          <c:val>
            <c:numRef>
              <c:f>'Payment Status Overview'!$B$7:$B$10</c:f>
              <c:numCache>
                <c:formatCode>General</c:formatCode>
                <c:ptCount val="3"/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48-4C6D-A957-CD3F141241B6}"/>
            </c:ext>
          </c:extLst>
        </c:ser>
        <c:ser>
          <c:idx val="1"/>
          <c:order val="1"/>
          <c:tx>
            <c:strRef>
              <c:f>'Payment Status Overview'!$C$5:$C$6</c:f>
              <c:strCache>
                <c:ptCount val="1"/>
                <c:pt idx="0">
                  <c:v>4/30/2026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'Payment Status Overview'!$A$7:$A$10</c:f>
              <c:strCache>
                <c:ptCount val="3"/>
                <c:pt idx="0">
                  <c:v>On Track</c:v>
                </c:pt>
                <c:pt idx="1">
                  <c:v>Overdue</c:v>
                </c:pt>
                <c:pt idx="2">
                  <c:v>(blank)</c:v>
                </c:pt>
              </c:strCache>
            </c:strRef>
          </c:cat>
          <c:val>
            <c:numRef>
              <c:f>'Payment Status Overview'!$C$7:$C$10</c:f>
              <c:numCache>
                <c:formatCode>General</c:formatCode>
                <c:ptCount val="3"/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B48-4C6D-A957-CD3F141241B6}"/>
            </c:ext>
          </c:extLst>
        </c:ser>
        <c:ser>
          <c:idx val="2"/>
          <c:order val="2"/>
          <c:tx>
            <c:strRef>
              <c:f>'Payment Status Overview'!$D$5:$D$6</c:f>
              <c:strCache>
                <c:ptCount val="1"/>
                <c:pt idx="0">
                  <c:v>5/1/2026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'Payment Status Overview'!$A$7:$A$10</c:f>
              <c:strCache>
                <c:ptCount val="3"/>
                <c:pt idx="0">
                  <c:v>On Track</c:v>
                </c:pt>
                <c:pt idx="1">
                  <c:v>Overdue</c:v>
                </c:pt>
                <c:pt idx="2">
                  <c:v>(blank)</c:v>
                </c:pt>
              </c:strCache>
            </c:strRef>
          </c:cat>
          <c:val>
            <c:numRef>
              <c:f>'Payment Status Overview'!$D$7:$D$10</c:f>
              <c:numCache>
                <c:formatCode>General</c:formatCode>
                <c:ptCount val="3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B48-4C6D-A957-CD3F141241B6}"/>
            </c:ext>
          </c:extLst>
        </c:ser>
        <c:ser>
          <c:idx val="3"/>
          <c:order val="3"/>
          <c:tx>
            <c:strRef>
              <c:f>'Payment Status Overview'!$E$5:$E$6</c:f>
              <c:strCache>
                <c:ptCount val="1"/>
                <c:pt idx="0">
                  <c:v>5/2/2026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'Payment Status Overview'!$A$7:$A$10</c:f>
              <c:strCache>
                <c:ptCount val="3"/>
                <c:pt idx="0">
                  <c:v>On Track</c:v>
                </c:pt>
                <c:pt idx="1">
                  <c:v>Overdue</c:v>
                </c:pt>
                <c:pt idx="2">
                  <c:v>(blank)</c:v>
                </c:pt>
              </c:strCache>
            </c:strRef>
          </c:cat>
          <c:val>
            <c:numRef>
              <c:f>'Payment Status Overview'!$E$7:$E$10</c:f>
              <c:numCache>
                <c:formatCode>General</c:formatCode>
                <c:ptCount val="3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B48-4C6D-A957-CD3F141241B6}"/>
            </c:ext>
          </c:extLst>
        </c:ser>
        <c:ser>
          <c:idx val="4"/>
          <c:order val="4"/>
          <c:tx>
            <c:strRef>
              <c:f>'Payment Status Overview'!$F$5:$F$6</c:f>
              <c:strCache>
                <c:ptCount val="1"/>
                <c:pt idx="0">
                  <c:v>5/3/2026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'Payment Status Overview'!$A$7:$A$10</c:f>
              <c:strCache>
                <c:ptCount val="3"/>
                <c:pt idx="0">
                  <c:v>On Track</c:v>
                </c:pt>
                <c:pt idx="1">
                  <c:v>Overdue</c:v>
                </c:pt>
                <c:pt idx="2">
                  <c:v>(blank)</c:v>
                </c:pt>
              </c:strCache>
            </c:strRef>
          </c:cat>
          <c:val>
            <c:numRef>
              <c:f>'Payment Status Overview'!$F$7:$F$10</c:f>
              <c:numCache>
                <c:formatCode>General</c:formatCode>
                <c:ptCount val="3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B48-4C6D-A957-CD3F141241B6}"/>
            </c:ext>
          </c:extLst>
        </c:ser>
        <c:ser>
          <c:idx val="5"/>
          <c:order val="5"/>
          <c:tx>
            <c:strRef>
              <c:f>'Payment Status Overview'!$G$5:$G$6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'Payment Status Overview'!$A$7:$A$10</c:f>
              <c:strCache>
                <c:ptCount val="3"/>
                <c:pt idx="0">
                  <c:v>On Track</c:v>
                </c:pt>
                <c:pt idx="1">
                  <c:v>Overdue</c:v>
                </c:pt>
                <c:pt idx="2">
                  <c:v>(blank)</c:v>
                </c:pt>
              </c:strCache>
            </c:strRef>
          </c:cat>
          <c:val>
            <c:numRef>
              <c:f>'Payment Status Overview'!$G$7:$G$10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0-2B48-4C6D-A957-CD3F14124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7852960"/>
        <c:axId val="1027854208"/>
      </c:barChart>
      <c:catAx>
        <c:axId val="102785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854208"/>
        <c:crosses val="autoZero"/>
        <c:auto val="1"/>
        <c:lblAlgn val="ctr"/>
        <c:lblOffset val="100"/>
        <c:noMultiLvlLbl val="0"/>
      </c:catAx>
      <c:valAx>
        <c:axId val="102785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85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 Estate Payments.xlsx]Communication Tracker!PivotTable6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'Communication Tracker'!$B$4:$B$5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'Communication Tracker'!$A$6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'Communication Tracker'!$B$6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36F-4353-B114-EE38712F5578}"/>
            </c:ext>
          </c:extLst>
        </c:ser>
        <c:ser>
          <c:idx val="1"/>
          <c:order val="1"/>
          <c:tx>
            <c:strRef>
              <c:f>'Communication Tracker'!$C$4:$C$5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'Communication Tracker'!$A$6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'Communication Tracker'!$C$6</c:f>
              <c:numCache>
                <c:formatCode>General</c:formatCode>
                <c:ptCount val="1"/>
                <c:pt idx="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36F-4353-B114-EE38712F5578}"/>
            </c:ext>
          </c:extLst>
        </c:ser>
        <c:ser>
          <c:idx val="2"/>
          <c:order val="2"/>
          <c:tx>
            <c:strRef>
              <c:f>'Communication Tracker'!$D$4:$D$5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'Communication Tracker'!$A$6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'Communication Tracker'!$D$6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6-A36F-4353-B114-EE38712F5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748176"/>
        <c:axId val="1127754000"/>
      </c:barChart>
      <c:catAx>
        <c:axId val="112774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754000"/>
        <c:crosses val="autoZero"/>
        <c:auto val="1"/>
        <c:lblAlgn val="ctr"/>
        <c:lblOffset val="100"/>
        <c:noMultiLvlLbl val="0"/>
      </c:catAx>
      <c:valAx>
        <c:axId val="112775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74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 Estate Payments.xlsx]Accountant Updated!PivotTable3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Accountant Updated!$B$3:$B$4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Accountant Updated!$A$5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Accountant Updated!$B$5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48-2720-4E60-AA14-E23DF51D31E0}"/>
            </c:ext>
          </c:extLst>
        </c:ser>
        <c:ser>
          <c:idx val="1"/>
          <c:order val="1"/>
          <c:tx>
            <c:strRef>
              <c:f>Accountant Updated!$C$3:$C$4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Accountant Updated!$A$5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Accountant Updated!$C$5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7-2720-4E60-AA14-E23DF51D31E0}"/>
            </c:ext>
          </c:extLst>
        </c:ser>
        <c:ser>
          <c:idx val="2"/>
          <c:order val="2"/>
          <c:tx>
            <c:strRef>
              <c:f>Accountant Updated!$D$3:$D$4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Accountant Updated!$A$5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Accountant Updated!$D$5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1A5-2720-4E60-AA14-E23DF51D3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77536"/>
        <c:axId val="12584192"/>
      </c:barChart>
      <c:catAx>
        <c:axId val="1257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4192"/>
        <c:crosses val="autoZero"/>
        <c:auto val="1"/>
        <c:lblAlgn val="ctr"/>
        <c:lblOffset val="100"/>
        <c:noMultiLvlLbl val="0"/>
      </c:catAx>
      <c:valAx>
        <c:axId val="1258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11</xdr:row>
      <xdr:rowOff>121920</xdr:rowOff>
    </xdr:from>
    <xdr:to>
      <xdr:col>7</xdr:col>
      <xdr:colOff>457200</xdr:colOff>
      <xdr:row>26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7ACF5E-65AC-40A6-B0AC-72D927588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60960</xdr:colOff>
      <xdr:row>11</xdr:row>
      <xdr:rowOff>144780</xdr:rowOff>
    </xdr:from>
    <xdr:to>
      <xdr:col>15</xdr:col>
      <xdr:colOff>365760</xdr:colOff>
      <xdr:row>26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ED0704-F1B1-4161-A5CF-48DE58922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27</xdr:row>
      <xdr:rowOff>30480</xdr:rowOff>
    </xdr:from>
    <xdr:to>
      <xdr:col>7</xdr:col>
      <xdr:colOff>457200</xdr:colOff>
      <xdr:row>42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889E38-DDE0-4AD9-93FD-A9EA2F6D1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403860</xdr:colOff>
      <xdr:row>10</xdr:row>
      <xdr:rowOff>158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73FA53-0C91-4FF3-9F5E-2F0B342FC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5890260" cy="18289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312420</xdr:colOff>
      <xdr:row>4</xdr:row>
      <xdr:rowOff>41910</xdr:rowOff>
    </xdr:from>
    <xdr:to>
      <xdr:col>13</xdr:col>
      <xdr:colOff>243840</xdr:colOff>
      <xdr:row>19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AA6111-EA00-4792-AB9C-15380F74F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1</xdr:row>
      <xdr:rowOff>80010</xdr:rowOff>
    </xdr:from>
    <xdr:to>
      <xdr:col>8</xdr:col>
      <xdr:colOff>777240</xdr:colOff>
      <xdr:row>16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DE0A16-7FA0-460A-B673-10C7AF188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6</xdr:row>
      <xdr:rowOff>110490</xdr:rowOff>
    </xdr:from>
    <xdr:to>
      <xdr:col>10</xdr:col>
      <xdr:colOff>624840</xdr:colOff>
      <xdr:row>21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EC31D2-29C0-4FFD-83EC-B80DCB775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 S E R - P C" refreshedDate="46146.596164467592" createdVersion="7" refreshedVersion="7" minRefreshableVersion="3" recordCount="52" xr:uid="{11C02448-632D-4F64-8400-BEFF04AEA3FC}">
  <cacheSource type="worksheet">
    <worksheetSource name="Table2"/>
  </cacheSource>
  <cacheFields count="11">
    <cacheField name="Date" numFmtId="164">
      <sharedItems containsNonDate="0" containsDate="1" containsString="0" containsBlank="1" minDate="2026-05-01T00:00:00" maxDate="2026-05-02T00:00:00"/>
    </cacheField>
    <cacheField name="Tenant Name" numFmtId="0">
      <sharedItems containsBlank="1" count="47">
        <s v="John Smith"/>
        <s v="Maria Lopez"/>
        <s v="David Chen"/>
        <s v="Sarah Johnson"/>
        <s v="Ahmed Khan"/>
        <s v="Emily Davis"/>
        <s v="Robert Brown"/>
        <s v="Linda Garcia"/>
        <s v="Kevin Wilson"/>
        <s v="Olivia Martinez"/>
        <s v="Thomas Lee"/>
        <s v="Grace Kim"/>
        <s v="Henry Adams"/>
        <s v="Natalie Cruz"/>
        <s v="George White"/>
        <s v="Sophia Torres"/>
        <s v="Michael Evans"/>
        <s v="Anna Scott"/>
        <s v="Jason Reed"/>
        <s v="Laura Hill"/>
        <s v="Chris Young"/>
        <s v="Patricia Allen"/>
        <s v="Steven Baker"/>
        <s v="Jennifer Clark"/>
        <s v="Brandon Lewis"/>
        <s v="Chloe Rivera"/>
        <s v="Ethan Moore"/>
        <s v="Isabella Flores"/>
        <s v="Jacob Hall"/>
        <s v="Mia Allen"/>
        <s v="Noah Scott"/>
        <s v="Ava King"/>
        <s v="Liam Wright"/>
        <s v="Sophia Green"/>
        <s v="Daniel Lewis"/>
        <s v="Emma Carter"/>
        <s v="Lucas Perez"/>
        <s v="Charlotte Hughes"/>
        <s v="Benjamin Ross"/>
        <s v="Amelia Ward"/>
        <s v="Mason Diaz"/>
        <s v="Harper Long"/>
        <s v="Evelyn Price"/>
        <s v="James Bell"/>
        <s v="Abigail Rivera"/>
        <s v="Oliver Brooks"/>
        <m/>
      </sharedItems>
    </cacheField>
    <cacheField name="Unit #" numFmtId="0">
      <sharedItems containsBlank="1"/>
    </cacheField>
    <cacheField name="Payment Due Date" numFmtId="164">
      <sharedItems containsNonDate="0" containsDate="1" containsString="0" containsBlank="1" minDate="2026-04-29T00:00:00" maxDate="2026-05-04T00:00:00" count="6">
        <d v="2026-05-01T00:00:00"/>
        <d v="2026-05-02T00:00:00"/>
        <d v="2026-04-30T00:00:00"/>
        <d v="2026-05-03T00:00:00"/>
        <d v="2026-04-29T00:00:00"/>
        <m/>
      </sharedItems>
    </cacheField>
    <cacheField name="Payment Status" numFmtId="0">
      <sharedItems containsBlank="1" count="3">
        <s v="On Track"/>
        <s v="Overdue"/>
        <m/>
      </sharedItems>
    </cacheField>
    <cacheField name="Follow-up Date" numFmtId="0">
      <sharedItems containsNonDate="0" containsDate="1" containsString="0" containsBlank="1" minDate="2026-05-01T00:00:00" maxDate="2026-05-04T00:00:00"/>
    </cacheField>
    <cacheField name="Phone Call Made" numFmtId="0">
      <sharedItems containsBlank="1" count="3">
        <s v="Yes"/>
        <s v="No"/>
        <m/>
      </sharedItems>
    </cacheField>
    <cacheField name="Email Sent" numFmtId="0">
      <sharedItems containsBlank="1" count="3">
        <s v="Yes"/>
        <s v="No"/>
        <m/>
      </sharedItems>
    </cacheField>
    <cacheField name="Accountant Liaison" numFmtId="0">
      <sharedItems containsBlank="1" count="3">
        <s v="Completed"/>
        <s v="Pending"/>
        <m/>
      </sharedItems>
    </cacheField>
    <cacheField name="Notes" numFmtId="0">
      <sharedItems containsBlank="1"/>
    </cacheField>
    <cacheField name="Xero Referen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d v="2026-05-01T00:00:00"/>
    <x v="0"/>
    <s v="A101"/>
    <x v="0"/>
    <x v="0"/>
    <d v="2026-05-01T00:00:00"/>
    <x v="0"/>
    <x v="0"/>
    <x v="0"/>
    <s v="Payment received"/>
    <s v="XR-001"/>
  </r>
  <r>
    <d v="2026-05-01T00:00:00"/>
    <x v="1"/>
    <s v="A102"/>
    <x v="1"/>
    <x v="0"/>
    <d v="2026-05-02T00:00:00"/>
    <x v="1"/>
    <x v="0"/>
    <x v="1"/>
    <s v="Awaiting confirmation"/>
    <s v="XR-002"/>
  </r>
  <r>
    <d v="2026-05-01T00:00:00"/>
    <x v="2"/>
    <s v="A103"/>
    <x v="2"/>
    <x v="1"/>
    <d v="2026-05-01T00:00:00"/>
    <x v="0"/>
    <x v="1"/>
    <x v="1"/>
    <s v="Follow-up required"/>
    <s v="XR-003"/>
  </r>
  <r>
    <d v="2026-05-01T00:00:00"/>
    <x v="3"/>
    <s v="A104"/>
    <x v="3"/>
    <x v="0"/>
    <d v="2026-05-03T00:00:00"/>
    <x v="1"/>
    <x v="1"/>
    <x v="0"/>
    <s v="Upcoming payment"/>
    <s v="XR-004"/>
  </r>
  <r>
    <d v="2026-05-01T00:00:00"/>
    <x v="4"/>
    <s v="A105"/>
    <x v="4"/>
    <x v="1"/>
    <d v="2026-05-01T00:00:00"/>
    <x v="0"/>
    <x v="0"/>
    <x v="1"/>
    <s v="Partial payment"/>
    <s v="XR-005"/>
  </r>
  <r>
    <d v="2026-05-01T00:00:00"/>
    <x v="0"/>
    <s v="A101"/>
    <x v="0"/>
    <x v="0"/>
    <d v="2026-05-01T00:00:00"/>
    <x v="0"/>
    <x v="0"/>
    <x v="0"/>
    <s v="Payment received"/>
    <s v="XR-006"/>
  </r>
  <r>
    <d v="2026-05-01T00:00:00"/>
    <x v="1"/>
    <s v="A102"/>
    <x v="1"/>
    <x v="0"/>
    <d v="2026-05-02T00:00:00"/>
    <x v="1"/>
    <x v="0"/>
    <x v="1"/>
    <s v="Awaiting confirmation"/>
    <s v="XR-007"/>
  </r>
  <r>
    <d v="2026-05-01T00:00:00"/>
    <x v="2"/>
    <s v="A103"/>
    <x v="2"/>
    <x v="1"/>
    <d v="2026-05-01T00:00:00"/>
    <x v="0"/>
    <x v="1"/>
    <x v="1"/>
    <s v="Follow-up required"/>
    <s v="XR-008"/>
  </r>
  <r>
    <d v="2026-05-01T00:00:00"/>
    <x v="3"/>
    <s v="A104"/>
    <x v="3"/>
    <x v="0"/>
    <d v="2026-05-03T00:00:00"/>
    <x v="1"/>
    <x v="1"/>
    <x v="0"/>
    <s v="Upcoming payment"/>
    <s v="XR-009"/>
  </r>
  <r>
    <d v="2026-05-01T00:00:00"/>
    <x v="4"/>
    <s v="A105"/>
    <x v="4"/>
    <x v="1"/>
    <d v="2026-05-01T00:00:00"/>
    <x v="0"/>
    <x v="0"/>
    <x v="1"/>
    <s v="Partial payment"/>
    <s v="XR-010"/>
  </r>
  <r>
    <d v="2026-05-01T00:00:00"/>
    <x v="5"/>
    <s v="A106"/>
    <x v="0"/>
    <x v="0"/>
    <d v="2026-05-01T00:00:00"/>
    <x v="0"/>
    <x v="0"/>
    <x v="0"/>
    <s v="Payment cleared"/>
    <s v="XR-011"/>
  </r>
  <r>
    <d v="2026-05-01T00:00:00"/>
    <x v="6"/>
    <s v="A107"/>
    <x v="1"/>
    <x v="0"/>
    <d v="2026-05-02T00:00:00"/>
    <x v="1"/>
    <x v="0"/>
    <x v="1"/>
    <s v="Email sent"/>
    <s v="XR-012"/>
  </r>
  <r>
    <d v="2026-05-01T00:00:00"/>
    <x v="7"/>
    <s v="A108"/>
    <x v="2"/>
    <x v="1"/>
    <d v="2026-05-01T00:00:00"/>
    <x v="0"/>
    <x v="1"/>
    <x v="1"/>
    <s v="No response"/>
    <s v="XR-013"/>
  </r>
  <r>
    <d v="2026-05-01T00:00:00"/>
    <x v="8"/>
    <s v="A109"/>
    <x v="3"/>
    <x v="0"/>
    <d v="2026-05-03T00:00:00"/>
    <x v="1"/>
    <x v="1"/>
    <x v="0"/>
    <s v="Upcoming payment"/>
    <s v="XR-014"/>
  </r>
  <r>
    <d v="2026-05-01T00:00:00"/>
    <x v="9"/>
    <s v="A110"/>
    <x v="0"/>
    <x v="0"/>
    <d v="2026-05-01T00:00:00"/>
    <x v="0"/>
    <x v="0"/>
    <x v="0"/>
    <s v="Payment received"/>
    <s v="XR-015"/>
  </r>
  <r>
    <d v="2026-05-01T00:00:00"/>
    <x v="10"/>
    <s v="A111"/>
    <x v="1"/>
    <x v="0"/>
    <d v="2026-05-02T00:00:00"/>
    <x v="1"/>
    <x v="0"/>
    <x v="1"/>
    <s v="Awaiting confirmation"/>
    <s v="XR-016"/>
  </r>
  <r>
    <d v="2026-05-01T00:00:00"/>
    <x v="11"/>
    <s v="A112"/>
    <x v="4"/>
    <x v="1"/>
    <d v="2026-05-01T00:00:00"/>
    <x v="0"/>
    <x v="1"/>
    <x v="1"/>
    <s v="Follow-up required"/>
    <s v="XR-017"/>
  </r>
  <r>
    <d v="2026-05-01T00:00:00"/>
    <x v="12"/>
    <s v="A113"/>
    <x v="3"/>
    <x v="0"/>
    <d v="2026-05-03T00:00:00"/>
    <x v="1"/>
    <x v="1"/>
    <x v="0"/>
    <s v="Upcoming payment"/>
    <s v="XR-018"/>
  </r>
  <r>
    <d v="2026-05-01T00:00:00"/>
    <x v="13"/>
    <s v="A114"/>
    <x v="0"/>
    <x v="0"/>
    <d v="2026-05-01T00:00:00"/>
    <x v="0"/>
    <x v="0"/>
    <x v="0"/>
    <s v="Payment cleared"/>
    <s v="XR-019"/>
  </r>
  <r>
    <d v="2026-05-01T00:00:00"/>
    <x v="14"/>
    <s v="A115"/>
    <x v="2"/>
    <x v="1"/>
    <d v="2026-05-01T00:00:00"/>
    <x v="0"/>
    <x v="1"/>
    <x v="1"/>
    <s v="No response"/>
    <s v="XR-020"/>
  </r>
  <r>
    <d v="2026-05-01T00:00:00"/>
    <x v="15"/>
    <s v="A116"/>
    <x v="1"/>
    <x v="0"/>
    <d v="2026-05-02T00:00:00"/>
    <x v="1"/>
    <x v="0"/>
    <x v="1"/>
    <s v="Email sent"/>
    <s v="XR-021"/>
  </r>
  <r>
    <d v="2026-05-01T00:00:00"/>
    <x v="16"/>
    <s v="A117"/>
    <x v="0"/>
    <x v="0"/>
    <d v="2026-05-01T00:00:00"/>
    <x v="0"/>
    <x v="0"/>
    <x v="0"/>
    <s v="Payment received"/>
    <s v="XR-022"/>
  </r>
  <r>
    <d v="2026-05-01T00:00:00"/>
    <x v="17"/>
    <s v="A118"/>
    <x v="4"/>
    <x v="1"/>
    <d v="2026-05-01T00:00:00"/>
    <x v="0"/>
    <x v="1"/>
    <x v="1"/>
    <s v="Follow-up required"/>
    <s v="XR-023"/>
  </r>
  <r>
    <d v="2026-05-01T00:00:00"/>
    <x v="18"/>
    <s v="A119"/>
    <x v="3"/>
    <x v="0"/>
    <d v="2026-05-03T00:00:00"/>
    <x v="1"/>
    <x v="1"/>
    <x v="0"/>
    <s v="Upcoming payment"/>
    <s v="XR-024"/>
  </r>
  <r>
    <d v="2026-05-01T00:00:00"/>
    <x v="19"/>
    <s v="A120"/>
    <x v="0"/>
    <x v="0"/>
    <d v="2026-05-01T00:00:00"/>
    <x v="0"/>
    <x v="0"/>
    <x v="0"/>
    <s v="Payment cleared"/>
    <s v="XR-025"/>
  </r>
  <r>
    <d v="2026-05-01T00:00:00"/>
    <x v="20"/>
    <s v="A121"/>
    <x v="2"/>
    <x v="1"/>
    <d v="2026-05-01T00:00:00"/>
    <x v="0"/>
    <x v="1"/>
    <x v="1"/>
    <s v="No response"/>
    <s v="XR-026"/>
  </r>
  <r>
    <d v="2026-05-01T00:00:00"/>
    <x v="21"/>
    <s v="A122"/>
    <x v="1"/>
    <x v="0"/>
    <d v="2026-05-02T00:00:00"/>
    <x v="1"/>
    <x v="0"/>
    <x v="1"/>
    <s v="Email sent"/>
    <s v="XR-027"/>
  </r>
  <r>
    <d v="2026-05-01T00:00:00"/>
    <x v="22"/>
    <s v="A123"/>
    <x v="0"/>
    <x v="0"/>
    <d v="2026-05-01T00:00:00"/>
    <x v="0"/>
    <x v="0"/>
    <x v="0"/>
    <s v="Payment received"/>
    <s v="XR-028"/>
  </r>
  <r>
    <d v="2026-05-01T00:00:00"/>
    <x v="23"/>
    <s v="A124"/>
    <x v="4"/>
    <x v="1"/>
    <d v="2026-05-01T00:00:00"/>
    <x v="0"/>
    <x v="1"/>
    <x v="1"/>
    <s v="Follow-up required"/>
    <s v="XR-029"/>
  </r>
  <r>
    <d v="2026-05-01T00:00:00"/>
    <x v="24"/>
    <s v="A125"/>
    <x v="3"/>
    <x v="0"/>
    <d v="2026-05-03T00:00:00"/>
    <x v="1"/>
    <x v="1"/>
    <x v="0"/>
    <s v="Upcoming payment"/>
    <s v="XR-030"/>
  </r>
  <r>
    <d v="2026-05-01T00:00:00"/>
    <x v="25"/>
    <s v="A126"/>
    <x v="0"/>
    <x v="0"/>
    <d v="2026-05-01T00:00:00"/>
    <x v="0"/>
    <x v="0"/>
    <x v="0"/>
    <s v="Payment cleared"/>
    <s v="XR-031"/>
  </r>
  <r>
    <d v="2026-05-01T00:00:00"/>
    <x v="26"/>
    <s v="A127"/>
    <x v="2"/>
    <x v="1"/>
    <d v="2026-05-01T00:00:00"/>
    <x v="0"/>
    <x v="1"/>
    <x v="1"/>
    <s v="No response"/>
    <s v="XR-032"/>
  </r>
  <r>
    <d v="2026-05-01T00:00:00"/>
    <x v="27"/>
    <s v="A128"/>
    <x v="1"/>
    <x v="0"/>
    <d v="2026-05-02T00:00:00"/>
    <x v="1"/>
    <x v="0"/>
    <x v="1"/>
    <s v="Email sent"/>
    <s v="XR-033"/>
  </r>
  <r>
    <d v="2026-05-01T00:00:00"/>
    <x v="28"/>
    <s v="A129"/>
    <x v="0"/>
    <x v="0"/>
    <d v="2026-05-01T00:00:00"/>
    <x v="0"/>
    <x v="0"/>
    <x v="0"/>
    <s v="Payment received"/>
    <s v="XR-034"/>
  </r>
  <r>
    <d v="2026-05-01T00:00:00"/>
    <x v="29"/>
    <s v="A130"/>
    <x v="4"/>
    <x v="1"/>
    <d v="2026-05-01T00:00:00"/>
    <x v="0"/>
    <x v="1"/>
    <x v="1"/>
    <s v="Follow-up required"/>
    <s v="XR-035"/>
  </r>
  <r>
    <d v="2026-05-01T00:00:00"/>
    <x v="30"/>
    <s v="A131"/>
    <x v="3"/>
    <x v="0"/>
    <d v="2026-05-03T00:00:00"/>
    <x v="1"/>
    <x v="1"/>
    <x v="0"/>
    <s v="Upcoming payment"/>
    <s v="XR-036"/>
  </r>
  <r>
    <d v="2026-05-01T00:00:00"/>
    <x v="31"/>
    <s v="A132"/>
    <x v="0"/>
    <x v="0"/>
    <d v="2026-05-01T00:00:00"/>
    <x v="0"/>
    <x v="0"/>
    <x v="0"/>
    <s v="Payment cleared"/>
    <s v="XR-037"/>
  </r>
  <r>
    <d v="2026-05-01T00:00:00"/>
    <x v="32"/>
    <s v="A133"/>
    <x v="2"/>
    <x v="1"/>
    <d v="2026-05-01T00:00:00"/>
    <x v="0"/>
    <x v="1"/>
    <x v="1"/>
    <s v="No response"/>
    <s v="XR-038"/>
  </r>
  <r>
    <d v="2026-05-01T00:00:00"/>
    <x v="33"/>
    <s v="A134"/>
    <x v="1"/>
    <x v="0"/>
    <d v="2026-05-02T00:00:00"/>
    <x v="1"/>
    <x v="0"/>
    <x v="1"/>
    <s v="Email sent"/>
    <s v="XR-039"/>
  </r>
  <r>
    <d v="2026-05-01T00:00:00"/>
    <x v="34"/>
    <s v="A135"/>
    <x v="0"/>
    <x v="0"/>
    <d v="2026-05-01T00:00:00"/>
    <x v="0"/>
    <x v="0"/>
    <x v="0"/>
    <s v="Payment received"/>
    <s v="XR-040"/>
  </r>
  <r>
    <d v="2026-05-01T00:00:00"/>
    <x v="35"/>
    <s v="A136"/>
    <x v="4"/>
    <x v="1"/>
    <d v="2026-05-01T00:00:00"/>
    <x v="0"/>
    <x v="1"/>
    <x v="1"/>
    <s v="Follow-up required"/>
    <s v="XR-041"/>
  </r>
  <r>
    <d v="2026-05-01T00:00:00"/>
    <x v="36"/>
    <s v="A137"/>
    <x v="3"/>
    <x v="0"/>
    <d v="2026-05-03T00:00:00"/>
    <x v="1"/>
    <x v="1"/>
    <x v="0"/>
    <s v="Upcoming payment"/>
    <s v="XR-042"/>
  </r>
  <r>
    <d v="2026-05-01T00:00:00"/>
    <x v="37"/>
    <s v="A138"/>
    <x v="0"/>
    <x v="0"/>
    <d v="2026-05-01T00:00:00"/>
    <x v="0"/>
    <x v="0"/>
    <x v="0"/>
    <s v="Payment cleared"/>
    <s v="XR-043"/>
  </r>
  <r>
    <d v="2026-05-01T00:00:00"/>
    <x v="38"/>
    <s v="A139"/>
    <x v="2"/>
    <x v="1"/>
    <d v="2026-05-01T00:00:00"/>
    <x v="0"/>
    <x v="1"/>
    <x v="1"/>
    <s v="No response"/>
    <s v="XR-044"/>
  </r>
  <r>
    <d v="2026-05-01T00:00:00"/>
    <x v="39"/>
    <s v="A140"/>
    <x v="1"/>
    <x v="0"/>
    <d v="2026-05-02T00:00:00"/>
    <x v="1"/>
    <x v="0"/>
    <x v="1"/>
    <s v="Email sent"/>
    <s v="XR-045"/>
  </r>
  <r>
    <d v="2026-05-01T00:00:00"/>
    <x v="40"/>
    <s v="A141"/>
    <x v="0"/>
    <x v="0"/>
    <d v="2026-05-01T00:00:00"/>
    <x v="0"/>
    <x v="0"/>
    <x v="0"/>
    <s v="Payment received"/>
    <s v="XR-046"/>
  </r>
  <r>
    <d v="2026-05-01T00:00:00"/>
    <x v="41"/>
    <s v="A142"/>
    <x v="4"/>
    <x v="1"/>
    <d v="2026-05-01T00:00:00"/>
    <x v="0"/>
    <x v="1"/>
    <x v="1"/>
    <s v="Follow-up required"/>
    <s v="XR-047"/>
  </r>
  <r>
    <d v="2026-05-01T00:00:00"/>
    <x v="42"/>
    <s v="A143"/>
    <x v="3"/>
    <x v="0"/>
    <d v="2026-05-03T00:00:00"/>
    <x v="1"/>
    <x v="1"/>
    <x v="0"/>
    <s v="Upcoming payment"/>
    <s v="XR-048"/>
  </r>
  <r>
    <d v="2026-05-01T00:00:00"/>
    <x v="43"/>
    <s v="A144"/>
    <x v="0"/>
    <x v="0"/>
    <d v="2026-05-01T00:00:00"/>
    <x v="0"/>
    <x v="0"/>
    <x v="0"/>
    <s v="Payment cleared"/>
    <s v="XR-049"/>
  </r>
  <r>
    <d v="2026-05-01T00:00:00"/>
    <x v="44"/>
    <s v="A145"/>
    <x v="2"/>
    <x v="1"/>
    <d v="2026-05-01T00:00:00"/>
    <x v="0"/>
    <x v="1"/>
    <x v="1"/>
    <s v="No response"/>
    <s v="XR-050"/>
  </r>
  <r>
    <d v="2026-05-01T00:00:00"/>
    <x v="45"/>
    <s v="A146"/>
    <x v="1"/>
    <x v="0"/>
    <d v="2026-05-02T00:00:00"/>
    <x v="1"/>
    <x v="0"/>
    <x v="1"/>
    <s v="Email sent"/>
    <s v="XR-051"/>
  </r>
  <r>
    <m/>
    <x v="46"/>
    <m/>
    <x v="5"/>
    <x v="2"/>
    <m/>
    <x v="2"/>
    <x v="2"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D4F8B-70C9-4853-81B1-CEBFE0D203E1}" name="PivotTable1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42:D59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38FAD-11F0-4790-AF68-51FD0C9C6185}" name="PivotTable3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5:H10" firstHeaderRow="1" firstDataRow="2" firstDataCol="1" rowPageCount="1" colPageCount="1"/>
  <pivotFields count="11">
    <pivotField showAll="0"/>
    <pivotField axis="axisPage" multipleItemSelectionAllowed="1" showAll="0">
      <items count="48">
        <item x="44"/>
        <item x="4"/>
        <item x="39"/>
        <item x="17"/>
        <item x="31"/>
        <item x="38"/>
        <item x="24"/>
        <item x="37"/>
        <item x="25"/>
        <item x="20"/>
        <item x="34"/>
        <item x="2"/>
        <item x="5"/>
        <item x="35"/>
        <item x="26"/>
        <item x="42"/>
        <item x="14"/>
        <item x="11"/>
        <item x="41"/>
        <item x="12"/>
        <item x="27"/>
        <item x="28"/>
        <item x="43"/>
        <item x="18"/>
        <item x="23"/>
        <item x="0"/>
        <item x="8"/>
        <item x="19"/>
        <item x="32"/>
        <item x="7"/>
        <item x="36"/>
        <item x="1"/>
        <item x="40"/>
        <item x="29"/>
        <item x="16"/>
        <item x="13"/>
        <item x="30"/>
        <item x="45"/>
        <item x="9"/>
        <item x="21"/>
        <item x="6"/>
        <item x="3"/>
        <item x="33"/>
        <item x="15"/>
        <item x="22"/>
        <item x="10"/>
        <item x="46"/>
        <item t="default"/>
      </items>
    </pivotField>
    <pivotField showAll="0"/>
    <pivotField axis="axisCol" dataField="1" showAll="0">
      <items count="7">
        <item x="4"/>
        <item x="2"/>
        <item x="0"/>
        <item x="1"/>
        <item x="3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-1"/>
  </pageFields>
  <dataFields count="1">
    <dataField name="Count of Payment Due Date2" fld="3" subtotal="count" baseField="0" baseItem="0"/>
  </dataFields>
  <chartFormats count="12"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FE43E-39FA-4DB6-BE0A-32872C67BA6A}" name="PivotTable6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4:E6" firstHeaderRow="1" firstDataRow="2" firstDataCol="1" rowPageCount="1" colPageCount="1"/>
  <pivotFields count="11">
    <pivotField showAll="0"/>
    <pivotField axis="axisPage" multipleItemSelectionAllowed="1" showAll="0">
      <items count="48">
        <item x="44"/>
        <item x="4"/>
        <item x="39"/>
        <item x="17"/>
        <item x="31"/>
        <item x="38"/>
        <item x="24"/>
        <item x="37"/>
        <item x="25"/>
        <item x="20"/>
        <item x="34"/>
        <item x="2"/>
        <item x="5"/>
        <item x="35"/>
        <item x="26"/>
        <item x="42"/>
        <item x="14"/>
        <item x="11"/>
        <item x="41"/>
        <item x="12"/>
        <item x="27"/>
        <item x="28"/>
        <item x="43"/>
        <item x="18"/>
        <item x="23"/>
        <item x="0"/>
        <item x="8"/>
        <item x="19"/>
        <item x="32"/>
        <item x="7"/>
        <item x="36"/>
        <item x="1"/>
        <item x="40"/>
        <item x="29"/>
        <item x="16"/>
        <item x="13"/>
        <item x="30"/>
        <item x="45"/>
        <item x="9"/>
        <item x="21"/>
        <item x="6"/>
        <item x="3"/>
        <item x="33"/>
        <item x="15"/>
        <item x="22"/>
        <item x="10"/>
        <item x="46"/>
        <item t="default"/>
      </items>
    </pivotField>
    <pivotField showAll="0"/>
    <pivotField showAll="0">
      <items count="7">
        <item x="4"/>
        <item x="2"/>
        <item x="0"/>
        <item x="1"/>
        <item x="3"/>
        <item x="5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>
      <items count="4">
        <item x="1"/>
        <item x="0"/>
        <item x="2"/>
        <item t="default"/>
      </items>
    </pivotField>
    <pivotField showAll="0"/>
    <pivotField showAll="0"/>
    <pivotField showAll="0"/>
  </pivotFields>
  <rowItems count="1">
    <i/>
  </rowItems>
  <colFields count="1">
    <field x="6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Count of Email Sent" fld="7" subtotal="count" baseField="0" baseItem="0"/>
  </dataFields>
  <chartFormats count="14">
    <chartFormat chart="3" format="10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3" format="12" series="1">
      <pivotArea type="data" outline="0" fieldPosition="0">
        <references count="1">
          <reference field="6" count="1" selected="0">
            <x v="2"/>
          </reference>
        </references>
      </pivotArea>
    </chartFormat>
    <chartFormat chart="1" format="8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1" format="9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1" format="10" series="1">
      <pivotArea type="data" outline="0" fieldPosition="0">
        <references count="1">
          <reference field="6" count="1" selected="0">
            <x v="2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17926-F2F8-456E-A01D-2FFACDD74119}" name="PivotTable3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E5" firstHeaderRow="1" firstDataRow="2" firstDataCol="1"/>
  <pivotFields count="11">
    <pivotField showAll="0"/>
    <pivotField dataField="1" showAll="0">
      <items count="48">
        <item x="44"/>
        <item x="4"/>
        <item x="39"/>
        <item x="17"/>
        <item x="31"/>
        <item x="38"/>
        <item x="24"/>
        <item x="37"/>
        <item x="25"/>
        <item x="20"/>
        <item x="34"/>
        <item x="2"/>
        <item x="5"/>
        <item x="35"/>
        <item x="26"/>
        <item x="42"/>
        <item x="14"/>
        <item x="11"/>
        <item x="41"/>
        <item x="12"/>
        <item x="27"/>
        <item x="28"/>
        <item x="43"/>
        <item x="18"/>
        <item x="23"/>
        <item x="0"/>
        <item x="8"/>
        <item x="19"/>
        <item x="32"/>
        <item x="7"/>
        <item x="36"/>
        <item x="1"/>
        <item x="40"/>
        <item x="29"/>
        <item x="16"/>
        <item x="13"/>
        <item x="30"/>
        <item x="45"/>
        <item x="9"/>
        <item x="21"/>
        <item x="6"/>
        <item x="3"/>
        <item x="33"/>
        <item x="15"/>
        <item x="22"/>
        <item x="10"/>
        <item x="4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</pivotFields>
  <rowItems count="1">
    <i/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Tenant Name" fld="1" subtotal="count" baseField="0" baseItem="0"/>
  </dataFields>
  <chartFormats count="6">
    <chartFormat chart="2" format="2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2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2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9FCB5A-F652-41E8-8D53-9FC6CFA52424}" name="Table2" displayName="Table2" ref="A1:K53" totalsRowShown="0">
  <autoFilter ref="A1:K53" xr:uid="{C89FCB5A-F652-41E8-8D53-9FC6CFA52424}"/>
  <tableColumns count="11">
    <tableColumn id="1" xr3:uid="{B27A976D-0592-4857-A3E9-35B489266571}" name="Date" dataDxfId="1"/>
    <tableColumn id="2" xr3:uid="{73E715E3-EDFC-431A-A41C-3E679A66E36F}" name="Tenant Name"/>
    <tableColumn id="3" xr3:uid="{AB614634-34FF-453D-B1DE-85ED9A0ECE0C}" name="Unit #"/>
    <tableColumn id="4" xr3:uid="{C2E6997B-B9CD-4568-839D-19CBC6E8C06F}" name="Payment Due Date" dataDxfId="0"/>
    <tableColumn id="5" xr3:uid="{989820C5-B722-4AB2-A179-70313E64E871}" name="Payment Status"/>
    <tableColumn id="6" xr3:uid="{63BC9405-B9DF-49C4-85A9-30174761C5B4}" name="Follow-up Date"/>
    <tableColumn id="7" xr3:uid="{689F0875-B4BD-439A-A427-AEA0826A5160}" name="Phone Call Made"/>
    <tableColumn id="8" xr3:uid="{2D1F57B1-7092-4E2B-BA22-B9E18B63F09E}" name="Email Sent"/>
    <tableColumn id="9" xr3:uid="{0B53F045-AC41-4904-AD8D-539AA4EA371A}" name="Accountant Liaison"/>
    <tableColumn id="10" xr3:uid="{A7B34763-5207-4FC8-9427-B8F44199D12F}" name="Notes"/>
    <tableColumn id="11" xr3:uid="{0FF0C5BC-DF3E-4C5B-878C-6FF5D9E4B578}" name="Xero 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55DB-EF44-4181-8737-E285276F44C4}">
  <sheetPr codeName="Sheet4"/>
  <dimension ref="A1"/>
  <sheetViews>
    <sheetView workbookViewId="0">
      <selection activeCell="M36" sqref="M3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ECC1-40DB-4313-9B62-A5EA6E43C173}">
  <sheetPr codeName="Sheet1"/>
  <dimension ref="A1:K52"/>
  <sheetViews>
    <sheetView tabSelected="1" topLeftCell="E1" zoomScale="115" zoomScaleNormal="115" workbookViewId="0">
      <selection activeCell="B42" sqref="B42"/>
    </sheetView>
  </sheetViews>
  <sheetFormatPr defaultRowHeight="14.4" x14ac:dyDescent="0.3"/>
  <cols>
    <col min="1" max="1" width="17.5546875" style="4" bestFit="1" customWidth="1"/>
    <col min="2" max="2" width="15.21875" bestFit="1" customWidth="1"/>
    <col min="3" max="3" width="8.21875" bestFit="1" customWidth="1"/>
    <col min="4" max="4" width="23.44140625" style="4" bestFit="1" customWidth="1"/>
    <col min="5" max="5" width="16.5546875" bestFit="1" customWidth="1"/>
    <col min="6" max="6" width="16" bestFit="1" customWidth="1"/>
    <col min="7" max="7" width="17.5546875" bestFit="1" customWidth="1"/>
    <col min="8" max="8" width="12" bestFit="1" customWidth="1"/>
    <col min="9" max="10" width="19.44140625" bestFit="1" customWidth="1"/>
    <col min="11" max="11" width="16.109375" bestFit="1" customWidth="1"/>
  </cols>
  <sheetData>
    <row r="1" spans="1:11" x14ac:dyDescent="0.3">
      <c r="A1" s="4" t="s">
        <v>10</v>
      </c>
      <c r="B1" t="s">
        <v>0</v>
      </c>
      <c r="C1" t="s">
        <v>1</v>
      </c>
      <c r="D1" s="4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4">
        <v>46143</v>
      </c>
      <c r="B2" t="s">
        <v>24</v>
      </c>
      <c r="C2" t="s">
        <v>11</v>
      </c>
      <c r="D2" s="4">
        <v>46143</v>
      </c>
      <c r="E2" t="s">
        <v>25</v>
      </c>
      <c r="F2" s="1">
        <v>46143</v>
      </c>
      <c r="G2" t="s">
        <v>12</v>
      </c>
      <c r="H2" t="s">
        <v>12</v>
      </c>
      <c r="I2" t="s">
        <v>26</v>
      </c>
      <c r="J2" t="s">
        <v>27</v>
      </c>
      <c r="K2" t="s">
        <v>28</v>
      </c>
    </row>
    <row r="3" spans="1:11" x14ac:dyDescent="0.3">
      <c r="A3" s="4">
        <v>46143</v>
      </c>
      <c r="B3" t="s">
        <v>29</v>
      </c>
      <c r="C3" t="s">
        <v>13</v>
      </c>
      <c r="D3" s="4">
        <v>46144</v>
      </c>
      <c r="E3" t="s">
        <v>25</v>
      </c>
      <c r="F3" s="1">
        <v>46144</v>
      </c>
      <c r="G3" t="s">
        <v>14</v>
      </c>
      <c r="H3" t="s">
        <v>12</v>
      </c>
      <c r="I3" t="s">
        <v>30</v>
      </c>
      <c r="J3" t="s">
        <v>31</v>
      </c>
      <c r="K3" t="s">
        <v>32</v>
      </c>
    </row>
    <row r="4" spans="1:11" x14ac:dyDescent="0.3">
      <c r="A4" s="4">
        <v>46143</v>
      </c>
      <c r="B4" t="s">
        <v>33</v>
      </c>
      <c r="C4" t="s">
        <v>15</v>
      </c>
      <c r="D4" s="4">
        <v>46142</v>
      </c>
      <c r="E4" t="s">
        <v>16</v>
      </c>
      <c r="F4" s="1">
        <v>46143</v>
      </c>
      <c r="G4" t="s">
        <v>12</v>
      </c>
      <c r="H4" t="s">
        <v>14</v>
      </c>
      <c r="I4" t="s">
        <v>30</v>
      </c>
      <c r="J4" t="s">
        <v>34</v>
      </c>
      <c r="K4" t="s">
        <v>35</v>
      </c>
    </row>
    <row r="5" spans="1:11" x14ac:dyDescent="0.3">
      <c r="A5" s="4">
        <v>46143</v>
      </c>
      <c r="B5" t="s">
        <v>36</v>
      </c>
      <c r="C5" t="s">
        <v>17</v>
      </c>
      <c r="D5" s="4">
        <v>46145</v>
      </c>
      <c r="E5" t="s">
        <v>25</v>
      </c>
      <c r="F5" s="1">
        <v>46145</v>
      </c>
      <c r="G5" t="s">
        <v>14</v>
      </c>
      <c r="H5" t="s">
        <v>14</v>
      </c>
      <c r="I5" t="s">
        <v>26</v>
      </c>
      <c r="J5" t="s">
        <v>37</v>
      </c>
      <c r="K5" t="s">
        <v>38</v>
      </c>
    </row>
    <row r="6" spans="1:11" x14ac:dyDescent="0.3">
      <c r="A6" s="4">
        <v>46143</v>
      </c>
      <c r="B6" t="s">
        <v>39</v>
      </c>
      <c r="C6" t="s">
        <v>18</v>
      </c>
      <c r="D6" s="4">
        <v>46141</v>
      </c>
      <c r="E6" t="s">
        <v>16</v>
      </c>
      <c r="F6" s="1">
        <v>46143</v>
      </c>
      <c r="G6" t="s">
        <v>12</v>
      </c>
      <c r="H6" t="s">
        <v>12</v>
      </c>
      <c r="I6" t="s">
        <v>30</v>
      </c>
      <c r="J6" t="s">
        <v>40</v>
      </c>
      <c r="K6" t="s">
        <v>41</v>
      </c>
    </row>
    <row r="7" spans="1:11" x14ac:dyDescent="0.3">
      <c r="A7" s="4">
        <v>46143</v>
      </c>
      <c r="B7" t="s">
        <v>24</v>
      </c>
      <c r="C7" t="s">
        <v>11</v>
      </c>
      <c r="D7" s="4">
        <v>46143</v>
      </c>
      <c r="E7" t="s">
        <v>25</v>
      </c>
      <c r="F7" s="1">
        <v>46143</v>
      </c>
      <c r="G7" t="s">
        <v>12</v>
      </c>
      <c r="H7" t="s">
        <v>12</v>
      </c>
      <c r="I7" t="s">
        <v>26</v>
      </c>
      <c r="J7" t="s">
        <v>27</v>
      </c>
      <c r="K7" t="s">
        <v>44</v>
      </c>
    </row>
    <row r="8" spans="1:11" x14ac:dyDescent="0.3">
      <c r="A8" s="4">
        <v>46143</v>
      </c>
      <c r="B8" t="s">
        <v>29</v>
      </c>
      <c r="C8" t="s">
        <v>13</v>
      </c>
      <c r="D8" s="4">
        <v>46144</v>
      </c>
      <c r="E8" t="s">
        <v>25</v>
      </c>
      <c r="F8" s="1">
        <v>46144</v>
      </c>
      <c r="G8" t="s">
        <v>14</v>
      </c>
      <c r="H8" t="s">
        <v>12</v>
      </c>
      <c r="I8" t="s">
        <v>30</v>
      </c>
      <c r="J8" t="s">
        <v>31</v>
      </c>
      <c r="K8" t="s">
        <v>47</v>
      </c>
    </row>
    <row r="9" spans="1:11" x14ac:dyDescent="0.3">
      <c r="A9" s="4">
        <v>46143</v>
      </c>
      <c r="B9" t="s">
        <v>33</v>
      </c>
      <c r="C9" t="s">
        <v>15</v>
      </c>
      <c r="D9" s="4">
        <v>46142</v>
      </c>
      <c r="E9" t="s">
        <v>16</v>
      </c>
      <c r="F9" s="1">
        <v>46143</v>
      </c>
      <c r="G9" t="s">
        <v>12</v>
      </c>
      <c r="H9" t="s">
        <v>14</v>
      </c>
      <c r="I9" t="s">
        <v>30</v>
      </c>
      <c r="J9" t="s">
        <v>34</v>
      </c>
      <c r="K9" t="s">
        <v>50</v>
      </c>
    </row>
    <row r="10" spans="1:11" x14ac:dyDescent="0.3">
      <c r="A10" s="4">
        <v>46143</v>
      </c>
      <c r="B10" t="s">
        <v>36</v>
      </c>
      <c r="C10" t="s">
        <v>17</v>
      </c>
      <c r="D10" s="4">
        <v>46145</v>
      </c>
      <c r="E10" t="s">
        <v>25</v>
      </c>
      <c r="F10" s="1">
        <v>46145</v>
      </c>
      <c r="G10" t="s">
        <v>14</v>
      </c>
      <c r="H10" t="s">
        <v>14</v>
      </c>
      <c r="I10" t="s">
        <v>26</v>
      </c>
      <c r="J10" t="s">
        <v>37</v>
      </c>
      <c r="K10" t="s">
        <v>52</v>
      </c>
    </row>
    <row r="11" spans="1:11" x14ac:dyDescent="0.3">
      <c r="A11" s="4">
        <v>46143</v>
      </c>
      <c r="B11" t="s">
        <v>39</v>
      </c>
      <c r="C11" t="s">
        <v>18</v>
      </c>
      <c r="D11" s="4">
        <v>46141</v>
      </c>
      <c r="E11" t="s">
        <v>16</v>
      </c>
      <c r="F11" s="1">
        <v>46143</v>
      </c>
      <c r="G11" t="s">
        <v>12</v>
      </c>
      <c r="H11" t="s">
        <v>12</v>
      </c>
      <c r="I11" t="s">
        <v>30</v>
      </c>
      <c r="J11" t="s">
        <v>40</v>
      </c>
      <c r="K11" t="s">
        <v>54</v>
      </c>
    </row>
    <row r="12" spans="1:11" x14ac:dyDescent="0.3">
      <c r="A12" s="4">
        <v>46143</v>
      </c>
      <c r="B12" t="s">
        <v>42</v>
      </c>
      <c r="C12" t="s">
        <v>19</v>
      </c>
      <c r="D12" s="4">
        <v>46143</v>
      </c>
      <c r="E12" t="s">
        <v>25</v>
      </c>
      <c r="F12" s="1">
        <v>46143</v>
      </c>
      <c r="G12" t="s">
        <v>12</v>
      </c>
      <c r="H12" t="s">
        <v>12</v>
      </c>
      <c r="I12" t="s">
        <v>26</v>
      </c>
      <c r="J12" t="s">
        <v>43</v>
      </c>
      <c r="K12" t="s">
        <v>57</v>
      </c>
    </row>
    <row r="13" spans="1:11" x14ac:dyDescent="0.3">
      <c r="A13" s="4">
        <v>46143</v>
      </c>
      <c r="B13" t="s">
        <v>45</v>
      </c>
      <c r="C13" t="s">
        <v>20</v>
      </c>
      <c r="D13" s="4">
        <v>46144</v>
      </c>
      <c r="E13" t="s">
        <v>25</v>
      </c>
      <c r="F13" s="1">
        <v>46144</v>
      </c>
      <c r="G13" t="s">
        <v>14</v>
      </c>
      <c r="H13" t="s">
        <v>12</v>
      </c>
      <c r="I13" t="s">
        <v>30</v>
      </c>
      <c r="J13" t="s">
        <v>46</v>
      </c>
      <c r="K13" t="s">
        <v>60</v>
      </c>
    </row>
    <row r="14" spans="1:11" x14ac:dyDescent="0.3">
      <c r="A14" s="4">
        <v>46143</v>
      </c>
      <c r="B14" t="s">
        <v>48</v>
      </c>
      <c r="C14" t="s">
        <v>21</v>
      </c>
      <c r="D14" s="4">
        <v>46142</v>
      </c>
      <c r="E14" t="s">
        <v>16</v>
      </c>
      <c r="F14" s="1">
        <v>46143</v>
      </c>
      <c r="G14" t="s">
        <v>12</v>
      </c>
      <c r="H14" t="s">
        <v>14</v>
      </c>
      <c r="I14" t="s">
        <v>30</v>
      </c>
      <c r="J14" t="s">
        <v>49</v>
      </c>
      <c r="K14" t="s">
        <v>63</v>
      </c>
    </row>
    <row r="15" spans="1:11" x14ac:dyDescent="0.3">
      <c r="A15" s="4">
        <v>46143</v>
      </c>
      <c r="B15" t="s">
        <v>51</v>
      </c>
      <c r="C15" t="s">
        <v>22</v>
      </c>
      <c r="D15" s="4">
        <v>46145</v>
      </c>
      <c r="E15" t="s">
        <v>25</v>
      </c>
      <c r="F15" s="1">
        <v>46145</v>
      </c>
      <c r="G15" t="s">
        <v>14</v>
      </c>
      <c r="H15" t="s">
        <v>14</v>
      </c>
      <c r="I15" t="s">
        <v>26</v>
      </c>
      <c r="J15" t="s">
        <v>37</v>
      </c>
      <c r="K15" t="s">
        <v>66</v>
      </c>
    </row>
    <row r="16" spans="1:11" x14ac:dyDescent="0.3">
      <c r="A16" s="4">
        <v>46143</v>
      </c>
      <c r="B16" t="s">
        <v>53</v>
      </c>
      <c r="C16" t="s">
        <v>23</v>
      </c>
      <c r="D16" s="4">
        <v>46143</v>
      </c>
      <c r="E16" t="s">
        <v>25</v>
      </c>
      <c r="F16" s="1">
        <v>46143</v>
      </c>
      <c r="G16" t="s">
        <v>12</v>
      </c>
      <c r="H16" t="s">
        <v>12</v>
      </c>
      <c r="I16" t="s">
        <v>26</v>
      </c>
      <c r="J16" t="s">
        <v>27</v>
      </c>
      <c r="K16" t="s">
        <v>69</v>
      </c>
    </row>
    <row r="17" spans="1:11" x14ac:dyDescent="0.3">
      <c r="A17" s="4">
        <v>46143</v>
      </c>
      <c r="B17" t="s">
        <v>55</v>
      </c>
      <c r="C17" t="s">
        <v>56</v>
      </c>
      <c r="D17" s="4">
        <v>46144</v>
      </c>
      <c r="E17" t="s">
        <v>25</v>
      </c>
      <c r="F17" s="1">
        <v>46144</v>
      </c>
      <c r="G17" t="s">
        <v>14</v>
      </c>
      <c r="H17" t="s">
        <v>12</v>
      </c>
      <c r="I17" t="s">
        <v>30</v>
      </c>
      <c r="J17" t="s">
        <v>31</v>
      </c>
      <c r="K17" t="s">
        <v>72</v>
      </c>
    </row>
    <row r="18" spans="1:11" x14ac:dyDescent="0.3">
      <c r="A18" s="4">
        <v>46143</v>
      </c>
      <c r="B18" t="s">
        <v>58</v>
      </c>
      <c r="C18" t="s">
        <v>59</v>
      </c>
      <c r="D18" s="4">
        <v>46141</v>
      </c>
      <c r="E18" t="s">
        <v>16</v>
      </c>
      <c r="F18" s="1">
        <v>46143</v>
      </c>
      <c r="G18" t="s">
        <v>12</v>
      </c>
      <c r="H18" t="s">
        <v>14</v>
      </c>
      <c r="I18" t="s">
        <v>30</v>
      </c>
      <c r="J18" t="s">
        <v>34</v>
      </c>
      <c r="K18" t="s">
        <v>75</v>
      </c>
    </row>
    <row r="19" spans="1:11" x14ac:dyDescent="0.3">
      <c r="A19" s="4">
        <v>46143</v>
      </c>
      <c r="B19" t="s">
        <v>61</v>
      </c>
      <c r="C19" t="s">
        <v>62</v>
      </c>
      <c r="D19" s="4">
        <v>46145</v>
      </c>
      <c r="E19" t="s">
        <v>25</v>
      </c>
      <c r="F19" s="1">
        <v>46145</v>
      </c>
      <c r="G19" t="s">
        <v>14</v>
      </c>
      <c r="H19" t="s">
        <v>14</v>
      </c>
      <c r="I19" t="s">
        <v>26</v>
      </c>
      <c r="J19" t="s">
        <v>37</v>
      </c>
      <c r="K19" t="s">
        <v>78</v>
      </c>
    </row>
    <row r="20" spans="1:11" x14ac:dyDescent="0.3">
      <c r="A20" s="4">
        <v>46143</v>
      </c>
      <c r="B20" t="s">
        <v>64</v>
      </c>
      <c r="C20" t="s">
        <v>65</v>
      </c>
      <c r="D20" s="4">
        <v>46143</v>
      </c>
      <c r="E20" t="s">
        <v>25</v>
      </c>
      <c r="F20" s="1">
        <v>46143</v>
      </c>
      <c r="G20" t="s">
        <v>12</v>
      </c>
      <c r="H20" t="s">
        <v>12</v>
      </c>
      <c r="I20" t="s">
        <v>26</v>
      </c>
      <c r="J20" t="s">
        <v>43</v>
      </c>
      <c r="K20" t="s">
        <v>81</v>
      </c>
    </row>
    <row r="21" spans="1:11" x14ac:dyDescent="0.3">
      <c r="A21" s="4">
        <v>46143</v>
      </c>
      <c r="B21" t="s">
        <v>67</v>
      </c>
      <c r="C21" t="s">
        <v>68</v>
      </c>
      <c r="D21" s="4">
        <v>46142</v>
      </c>
      <c r="E21" t="s">
        <v>16</v>
      </c>
      <c r="F21" s="1">
        <v>46143</v>
      </c>
      <c r="G21" t="s">
        <v>12</v>
      </c>
      <c r="H21" t="s">
        <v>14</v>
      </c>
      <c r="I21" t="s">
        <v>30</v>
      </c>
      <c r="J21" t="s">
        <v>49</v>
      </c>
      <c r="K21" t="s">
        <v>84</v>
      </c>
    </row>
    <row r="22" spans="1:11" x14ac:dyDescent="0.3">
      <c r="A22" s="4">
        <v>46143</v>
      </c>
      <c r="B22" t="s">
        <v>70</v>
      </c>
      <c r="C22" t="s">
        <v>71</v>
      </c>
      <c r="D22" s="4">
        <v>46144</v>
      </c>
      <c r="E22" t="s">
        <v>25</v>
      </c>
      <c r="F22" s="1">
        <v>46144</v>
      </c>
      <c r="G22" t="s">
        <v>14</v>
      </c>
      <c r="H22" t="s">
        <v>12</v>
      </c>
      <c r="I22" t="s">
        <v>30</v>
      </c>
      <c r="J22" t="s">
        <v>46</v>
      </c>
      <c r="K22" t="s">
        <v>87</v>
      </c>
    </row>
    <row r="23" spans="1:11" x14ac:dyDescent="0.3">
      <c r="A23" s="4">
        <v>46143</v>
      </c>
      <c r="B23" t="s">
        <v>73</v>
      </c>
      <c r="C23" t="s">
        <v>74</v>
      </c>
      <c r="D23" s="4">
        <v>46143</v>
      </c>
      <c r="E23" t="s">
        <v>25</v>
      </c>
      <c r="F23" s="1">
        <v>46143</v>
      </c>
      <c r="G23" t="s">
        <v>12</v>
      </c>
      <c r="H23" t="s">
        <v>12</v>
      </c>
      <c r="I23" t="s">
        <v>26</v>
      </c>
      <c r="J23" t="s">
        <v>27</v>
      </c>
      <c r="K23" t="s">
        <v>90</v>
      </c>
    </row>
    <row r="24" spans="1:11" x14ac:dyDescent="0.3">
      <c r="A24" s="4">
        <v>46143</v>
      </c>
      <c r="B24" t="s">
        <v>76</v>
      </c>
      <c r="C24" t="s">
        <v>77</v>
      </c>
      <c r="D24" s="4">
        <v>46141</v>
      </c>
      <c r="E24" t="s">
        <v>16</v>
      </c>
      <c r="F24" s="1">
        <v>46143</v>
      </c>
      <c r="G24" t="s">
        <v>12</v>
      </c>
      <c r="H24" t="s">
        <v>14</v>
      </c>
      <c r="I24" t="s">
        <v>30</v>
      </c>
      <c r="J24" t="s">
        <v>34</v>
      </c>
      <c r="K24" t="s">
        <v>93</v>
      </c>
    </row>
    <row r="25" spans="1:11" x14ac:dyDescent="0.3">
      <c r="A25" s="4">
        <v>46143</v>
      </c>
      <c r="B25" t="s">
        <v>79</v>
      </c>
      <c r="C25" t="s">
        <v>80</v>
      </c>
      <c r="D25" s="4">
        <v>46145</v>
      </c>
      <c r="E25" t="s">
        <v>25</v>
      </c>
      <c r="F25" s="1">
        <v>46145</v>
      </c>
      <c r="G25" t="s">
        <v>14</v>
      </c>
      <c r="H25" t="s">
        <v>14</v>
      </c>
      <c r="I25" t="s">
        <v>26</v>
      </c>
      <c r="J25" t="s">
        <v>37</v>
      </c>
      <c r="K25" t="s">
        <v>96</v>
      </c>
    </row>
    <row r="26" spans="1:11" x14ac:dyDescent="0.3">
      <c r="A26" s="4">
        <v>46143</v>
      </c>
      <c r="B26" t="s">
        <v>82</v>
      </c>
      <c r="C26" t="s">
        <v>83</v>
      </c>
      <c r="D26" s="4">
        <v>46143</v>
      </c>
      <c r="E26" t="s">
        <v>25</v>
      </c>
      <c r="F26" s="1">
        <v>46143</v>
      </c>
      <c r="G26" t="s">
        <v>12</v>
      </c>
      <c r="H26" t="s">
        <v>12</v>
      </c>
      <c r="I26" t="s">
        <v>26</v>
      </c>
      <c r="J26" t="s">
        <v>43</v>
      </c>
      <c r="K26" t="s">
        <v>99</v>
      </c>
    </row>
    <row r="27" spans="1:11" x14ac:dyDescent="0.3">
      <c r="A27" s="4">
        <v>46143</v>
      </c>
      <c r="B27" t="s">
        <v>85</v>
      </c>
      <c r="C27" t="s">
        <v>86</v>
      </c>
      <c r="D27" s="4">
        <v>46142</v>
      </c>
      <c r="E27" t="s">
        <v>16</v>
      </c>
      <c r="F27" s="1">
        <v>46143</v>
      </c>
      <c r="G27" t="s">
        <v>12</v>
      </c>
      <c r="H27" t="s">
        <v>14</v>
      </c>
      <c r="I27" t="s">
        <v>30</v>
      </c>
      <c r="J27" t="s">
        <v>49</v>
      </c>
      <c r="K27" t="s">
        <v>102</v>
      </c>
    </row>
    <row r="28" spans="1:11" x14ac:dyDescent="0.3">
      <c r="A28" s="4">
        <v>46143</v>
      </c>
      <c r="B28" t="s">
        <v>88</v>
      </c>
      <c r="C28" t="s">
        <v>89</v>
      </c>
      <c r="D28" s="4">
        <v>46144</v>
      </c>
      <c r="E28" t="s">
        <v>25</v>
      </c>
      <c r="F28" s="1">
        <v>46144</v>
      </c>
      <c r="G28" t="s">
        <v>14</v>
      </c>
      <c r="H28" t="s">
        <v>12</v>
      </c>
      <c r="I28" t="s">
        <v>30</v>
      </c>
      <c r="J28" t="s">
        <v>46</v>
      </c>
      <c r="K28" t="s">
        <v>105</v>
      </c>
    </row>
    <row r="29" spans="1:11" x14ac:dyDescent="0.3">
      <c r="A29" s="4">
        <v>46143</v>
      </c>
      <c r="B29" t="s">
        <v>91</v>
      </c>
      <c r="C29" t="s">
        <v>92</v>
      </c>
      <c r="D29" s="4">
        <v>46143</v>
      </c>
      <c r="E29" t="s">
        <v>25</v>
      </c>
      <c r="F29" s="1">
        <v>46143</v>
      </c>
      <c r="G29" t="s">
        <v>12</v>
      </c>
      <c r="H29" t="s">
        <v>12</v>
      </c>
      <c r="I29" t="s">
        <v>26</v>
      </c>
      <c r="J29" t="s">
        <v>27</v>
      </c>
      <c r="K29" t="s">
        <v>108</v>
      </c>
    </row>
    <row r="30" spans="1:11" x14ac:dyDescent="0.3">
      <c r="A30" s="4">
        <v>46143</v>
      </c>
      <c r="B30" t="s">
        <v>94</v>
      </c>
      <c r="C30" t="s">
        <v>95</v>
      </c>
      <c r="D30" s="4">
        <v>46141</v>
      </c>
      <c r="E30" t="s">
        <v>16</v>
      </c>
      <c r="F30" s="1">
        <v>46143</v>
      </c>
      <c r="G30" t="s">
        <v>12</v>
      </c>
      <c r="H30" t="s">
        <v>14</v>
      </c>
      <c r="I30" t="s">
        <v>30</v>
      </c>
      <c r="J30" t="s">
        <v>34</v>
      </c>
      <c r="K30" t="s">
        <v>111</v>
      </c>
    </row>
    <row r="31" spans="1:11" x14ac:dyDescent="0.3">
      <c r="A31" s="4">
        <v>46143</v>
      </c>
      <c r="B31" t="s">
        <v>97</v>
      </c>
      <c r="C31" t="s">
        <v>98</v>
      </c>
      <c r="D31" s="4">
        <v>46145</v>
      </c>
      <c r="E31" t="s">
        <v>25</v>
      </c>
      <c r="F31" s="1">
        <v>46145</v>
      </c>
      <c r="G31" t="s">
        <v>14</v>
      </c>
      <c r="H31" t="s">
        <v>14</v>
      </c>
      <c r="I31" t="s">
        <v>26</v>
      </c>
      <c r="J31" t="s">
        <v>37</v>
      </c>
      <c r="K31" t="s">
        <v>114</v>
      </c>
    </row>
    <row r="32" spans="1:11" x14ac:dyDescent="0.3">
      <c r="A32" s="4">
        <v>46143</v>
      </c>
      <c r="B32" t="s">
        <v>100</v>
      </c>
      <c r="C32" t="s">
        <v>101</v>
      </c>
      <c r="D32" s="4">
        <v>46143</v>
      </c>
      <c r="E32" t="s">
        <v>25</v>
      </c>
      <c r="F32" s="1">
        <v>46143</v>
      </c>
      <c r="G32" t="s">
        <v>12</v>
      </c>
      <c r="H32" t="s">
        <v>12</v>
      </c>
      <c r="I32" t="s">
        <v>26</v>
      </c>
      <c r="J32" t="s">
        <v>43</v>
      </c>
      <c r="K32" t="s">
        <v>117</v>
      </c>
    </row>
    <row r="33" spans="1:11" x14ac:dyDescent="0.3">
      <c r="A33" s="4">
        <v>46143</v>
      </c>
      <c r="B33" t="s">
        <v>103</v>
      </c>
      <c r="C33" t="s">
        <v>104</v>
      </c>
      <c r="D33" s="4">
        <v>46142</v>
      </c>
      <c r="E33" t="s">
        <v>16</v>
      </c>
      <c r="F33" s="1">
        <v>46143</v>
      </c>
      <c r="G33" t="s">
        <v>12</v>
      </c>
      <c r="H33" t="s">
        <v>14</v>
      </c>
      <c r="I33" t="s">
        <v>30</v>
      </c>
      <c r="J33" t="s">
        <v>49</v>
      </c>
      <c r="K33" t="s">
        <v>120</v>
      </c>
    </row>
    <row r="34" spans="1:11" x14ac:dyDescent="0.3">
      <c r="A34" s="4">
        <v>46143</v>
      </c>
      <c r="B34" t="s">
        <v>106</v>
      </c>
      <c r="C34" t="s">
        <v>107</v>
      </c>
      <c r="D34" s="4">
        <v>46144</v>
      </c>
      <c r="E34" t="s">
        <v>25</v>
      </c>
      <c r="F34" s="1">
        <v>46144</v>
      </c>
      <c r="G34" t="s">
        <v>14</v>
      </c>
      <c r="H34" t="s">
        <v>12</v>
      </c>
      <c r="I34" t="s">
        <v>30</v>
      </c>
      <c r="J34" t="s">
        <v>46</v>
      </c>
      <c r="K34" t="s">
        <v>123</v>
      </c>
    </row>
    <row r="35" spans="1:11" x14ac:dyDescent="0.3">
      <c r="A35" s="4">
        <v>46143</v>
      </c>
      <c r="B35" t="s">
        <v>109</v>
      </c>
      <c r="C35" t="s">
        <v>110</v>
      </c>
      <c r="D35" s="4">
        <v>46143</v>
      </c>
      <c r="E35" t="s">
        <v>25</v>
      </c>
      <c r="F35" s="1">
        <v>46143</v>
      </c>
      <c r="G35" t="s">
        <v>12</v>
      </c>
      <c r="H35" t="s">
        <v>12</v>
      </c>
      <c r="I35" t="s">
        <v>26</v>
      </c>
      <c r="J35" t="s">
        <v>27</v>
      </c>
      <c r="K35" t="s">
        <v>126</v>
      </c>
    </row>
    <row r="36" spans="1:11" x14ac:dyDescent="0.3">
      <c r="A36" s="4">
        <v>46143</v>
      </c>
      <c r="B36" t="s">
        <v>112</v>
      </c>
      <c r="C36" t="s">
        <v>113</v>
      </c>
      <c r="D36" s="4">
        <v>46141</v>
      </c>
      <c r="E36" t="s">
        <v>16</v>
      </c>
      <c r="F36" s="1">
        <v>46143</v>
      </c>
      <c r="G36" t="s">
        <v>12</v>
      </c>
      <c r="H36" t="s">
        <v>14</v>
      </c>
      <c r="I36" t="s">
        <v>30</v>
      </c>
      <c r="J36" t="s">
        <v>34</v>
      </c>
      <c r="K36" t="s">
        <v>129</v>
      </c>
    </row>
    <row r="37" spans="1:11" x14ac:dyDescent="0.3">
      <c r="A37" s="4">
        <v>46143</v>
      </c>
      <c r="B37" t="s">
        <v>115</v>
      </c>
      <c r="C37" t="s">
        <v>116</v>
      </c>
      <c r="D37" s="4">
        <v>46145</v>
      </c>
      <c r="E37" t="s">
        <v>25</v>
      </c>
      <c r="F37" s="1">
        <v>46145</v>
      </c>
      <c r="G37" t="s">
        <v>14</v>
      </c>
      <c r="H37" t="s">
        <v>14</v>
      </c>
      <c r="I37" t="s">
        <v>26</v>
      </c>
      <c r="J37" t="s">
        <v>37</v>
      </c>
      <c r="K37" t="s">
        <v>132</v>
      </c>
    </row>
    <row r="38" spans="1:11" x14ac:dyDescent="0.3">
      <c r="A38" s="4">
        <v>46143</v>
      </c>
      <c r="B38" t="s">
        <v>118</v>
      </c>
      <c r="C38" t="s">
        <v>119</v>
      </c>
      <c r="D38" s="4">
        <v>46143</v>
      </c>
      <c r="E38" t="s">
        <v>25</v>
      </c>
      <c r="F38" s="1">
        <v>46143</v>
      </c>
      <c r="G38" t="s">
        <v>12</v>
      </c>
      <c r="H38" t="s">
        <v>12</v>
      </c>
      <c r="I38" t="s">
        <v>26</v>
      </c>
      <c r="J38" t="s">
        <v>43</v>
      </c>
      <c r="K38" t="s">
        <v>135</v>
      </c>
    </row>
    <row r="39" spans="1:11" x14ac:dyDescent="0.3">
      <c r="A39" s="4">
        <v>46143</v>
      </c>
      <c r="B39" t="s">
        <v>121</v>
      </c>
      <c r="C39" t="s">
        <v>122</v>
      </c>
      <c r="D39" s="4">
        <v>46142</v>
      </c>
      <c r="E39" t="s">
        <v>16</v>
      </c>
      <c r="F39" s="1">
        <v>46143</v>
      </c>
      <c r="G39" t="s">
        <v>12</v>
      </c>
      <c r="H39" t="s">
        <v>14</v>
      </c>
      <c r="I39" t="s">
        <v>30</v>
      </c>
      <c r="J39" t="s">
        <v>49</v>
      </c>
      <c r="K39" t="s">
        <v>138</v>
      </c>
    </row>
    <row r="40" spans="1:11" x14ac:dyDescent="0.3">
      <c r="A40" s="4">
        <v>46143</v>
      </c>
      <c r="B40" t="s">
        <v>124</v>
      </c>
      <c r="C40" t="s">
        <v>125</v>
      </c>
      <c r="D40" s="4">
        <v>46144</v>
      </c>
      <c r="E40" t="s">
        <v>25</v>
      </c>
      <c r="F40" s="1">
        <v>46144</v>
      </c>
      <c r="G40" t="s">
        <v>14</v>
      </c>
      <c r="H40" t="s">
        <v>12</v>
      </c>
      <c r="I40" t="s">
        <v>30</v>
      </c>
      <c r="J40" t="s">
        <v>46</v>
      </c>
      <c r="K40" t="s">
        <v>141</v>
      </c>
    </row>
    <row r="41" spans="1:11" x14ac:dyDescent="0.3">
      <c r="A41" s="4">
        <v>46143</v>
      </c>
      <c r="B41" t="s">
        <v>127</v>
      </c>
      <c r="C41" t="s">
        <v>128</v>
      </c>
      <c r="D41" s="4">
        <v>46143</v>
      </c>
      <c r="E41" t="s">
        <v>25</v>
      </c>
      <c r="F41" s="1">
        <v>46143</v>
      </c>
      <c r="G41" t="s">
        <v>12</v>
      </c>
      <c r="H41" t="s">
        <v>12</v>
      </c>
      <c r="I41" t="s">
        <v>26</v>
      </c>
      <c r="J41" t="s">
        <v>27</v>
      </c>
      <c r="K41" t="s">
        <v>144</v>
      </c>
    </row>
    <row r="42" spans="1:11" x14ac:dyDescent="0.3">
      <c r="A42" s="4">
        <v>46143</v>
      </c>
      <c r="B42" t="s">
        <v>130</v>
      </c>
      <c r="C42" t="s">
        <v>131</v>
      </c>
      <c r="D42" s="4">
        <v>46141</v>
      </c>
      <c r="E42" t="s">
        <v>16</v>
      </c>
      <c r="F42" s="1">
        <v>46143</v>
      </c>
      <c r="G42" t="s">
        <v>12</v>
      </c>
      <c r="H42" t="s">
        <v>14</v>
      </c>
      <c r="I42" t="s">
        <v>30</v>
      </c>
      <c r="J42" t="s">
        <v>34</v>
      </c>
      <c r="K42" t="s">
        <v>147</v>
      </c>
    </row>
    <row r="43" spans="1:11" x14ac:dyDescent="0.3">
      <c r="A43" s="4">
        <v>46143</v>
      </c>
      <c r="B43" t="s">
        <v>133</v>
      </c>
      <c r="C43" t="s">
        <v>134</v>
      </c>
      <c r="D43" s="4">
        <v>46145</v>
      </c>
      <c r="E43" t="s">
        <v>25</v>
      </c>
      <c r="F43" s="1">
        <v>46145</v>
      </c>
      <c r="G43" t="s">
        <v>14</v>
      </c>
      <c r="H43" t="s">
        <v>14</v>
      </c>
      <c r="I43" t="s">
        <v>26</v>
      </c>
      <c r="J43" t="s">
        <v>37</v>
      </c>
      <c r="K43" t="s">
        <v>150</v>
      </c>
    </row>
    <row r="44" spans="1:11" x14ac:dyDescent="0.3">
      <c r="A44" s="4">
        <v>46143</v>
      </c>
      <c r="B44" t="s">
        <v>136</v>
      </c>
      <c r="C44" t="s">
        <v>137</v>
      </c>
      <c r="D44" s="4">
        <v>46143</v>
      </c>
      <c r="E44" t="s">
        <v>25</v>
      </c>
      <c r="F44" s="1">
        <v>46143</v>
      </c>
      <c r="G44" t="s">
        <v>12</v>
      </c>
      <c r="H44" t="s">
        <v>12</v>
      </c>
      <c r="I44" t="s">
        <v>26</v>
      </c>
      <c r="J44" t="s">
        <v>43</v>
      </c>
      <c r="K44" t="s">
        <v>153</v>
      </c>
    </row>
    <row r="45" spans="1:11" x14ac:dyDescent="0.3">
      <c r="A45" s="4">
        <v>46143</v>
      </c>
      <c r="B45" t="s">
        <v>139</v>
      </c>
      <c r="C45" t="s">
        <v>140</v>
      </c>
      <c r="D45" s="4">
        <v>46142</v>
      </c>
      <c r="E45" t="s">
        <v>16</v>
      </c>
      <c r="F45" s="1">
        <v>46143</v>
      </c>
      <c r="G45" t="s">
        <v>12</v>
      </c>
      <c r="H45" t="s">
        <v>14</v>
      </c>
      <c r="I45" t="s">
        <v>30</v>
      </c>
      <c r="J45" t="s">
        <v>49</v>
      </c>
      <c r="K45" t="s">
        <v>156</v>
      </c>
    </row>
    <row r="46" spans="1:11" x14ac:dyDescent="0.3">
      <c r="A46" s="4">
        <v>46143</v>
      </c>
      <c r="B46" t="s">
        <v>142</v>
      </c>
      <c r="C46" t="s">
        <v>143</v>
      </c>
      <c r="D46" s="4">
        <v>46144</v>
      </c>
      <c r="E46" t="s">
        <v>25</v>
      </c>
      <c r="F46" s="1">
        <v>46144</v>
      </c>
      <c r="G46" t="s">
        <v>14</v>
      </c>
      <c r="H46" t="s">
        <v>12</v>
      </c>
      <c r="I46" t="s">
        <v>30</v>
      </c>
      <c r="J46" t="s">
        <v>46</v>
      </c>
      <c r="K46" t="s">
        <v>159</v>
      </c>
    </row>
    <row r="47" spans="1:11" x14ac:dyDescent="0.3">
      <c r="A47" s="4">
        <v>46143</v>
      </c>
      <c r="B47" t="s">
        <v>145</v>
      </c>
      <c r="C47" t="s">
        <v>146</v>
      </c>
      <c r="D47" s="4">
        <v>46143</v>
      </c>
      <c r="E47" t="s">
        <v>25</v>
      </c>
      <c r="F47" s="1">
        <v>46143</v>
      </c>
      <c r="G47" t="s">
        <v>12</v>
      </c>
      <c r="H47" t="s">
        <v>12</v>
      </c>
      <c r="I47" t="s">
        <v>26</v>
      </c>
      <c r="J47" t="s">
        <v>27</v>
      </c>
      <c r="K47" t="s">
        <v>162</v>
      </c>
    </row>
    <row r="48" spans="1:11" x14ac:dyDescent="0.3">
      <c r="A48" s="4">
        <v>46143</v>
      </c>
      <c r="B48" t="s">
        <v>148</v>
      </c>
      <c r="C48" t="s">
        <v>149</v>
      </c>
      <c r="D48" s="4">
        <v>46141</v>
      </c>
      <c r="E48" t="s">
        <v>16</v>
      </c>
      <c r="F48" s="1">
        <v>46143</v>
      </c>
      <c r="G48" t="s">
        <v>12</v>
      </c>
      <c r="H48" t="s">
        <v>14</v>
      </c>
      <c r="I48" t="s">
        <v>30</v>
      </c>
      <c r="J48" t="s">
        <v>34</v>
      </c>
      <c r="K48" t="s">
        <v>166</v>
      </c>
    </row>
    <row r="49" spans="1:11" x14ac:dyDescent="0.3">
      <c r="A49" s="4">
        <v>46143</v>
      </c>
      <c r="B49" t="s">
        <v>151</v>
      </c>
      <c r="C49" t="s">
        <v>152</v>
      </c>
      <c r="D49" s="4">
        <v>46145</v>
      </c>
      <c r="E49" t="s">
        <v>25</v>
      </c>
      <c r="F49" s="1">
        <v>46145</v>
      </c>
      <c r="G49" t="s">
        <v>14</v>
      </c>
      <c r="H49" t="s">
        <v>14</v>
      </c>
      <c r="I49" t="s">
        <v>26</v>
      </c>
      <c r="J49" t="s">
        <v>37</v>
      </c>
      <c r="K49" t="s">
        <v>167</v>
      </c>
    </row>
    <row r="50" spans="1:11" x14ac:dyDescent="0.3">
      <c r="A50" s="4">
        <v>46143</v>
      </c>
      <c r="B50" t="s">
        <v>154</v>
      </c>
      <c r="C50" t="s">
        <v>155</v>
      </c>
      <c r="D50" s="4">
        <v>46143</v>
      </c>
      <c r="E50" t="s">
        <v>25</v>
      </c>
      <c r="F50" s="1">
        <v>46143</v>
      </c>
      <c r="G50" t="s">
        <v>12</v>
      </c>
      <c r="H50" t="s">
        <v>12</v>
      </c>
      <c r="I50" t="s">
        <v>26</v>
      </c>
      <c r="J50" t="s">
        <v>43</v>
      </c>
      <c r="K50" t="s">
        <v>168</v>
      </c>
    </row>
    <row r="51" spans="1:11" x14ac:dyDescent="0.3">
      <c r="A51" s="4">
        <v>46143</v>
      </c>
      <c r="B51" t="s">
        <v>157</v>
      </c>
      <c r="C51" t="s">
        <v>158</v>
      </c>
      <c r="D51" s="4">
        <v>46142</v>
      </c>
      <c r="E51" t="s">
        <v>16</v>
      </c>
      <c r="F51" s="1">
        <v>46143</v>
      </c>
      <c r="G51" t="s">
        <v>12</v>
      </c>
      <c r="H51" t="s">
        <v>14</v>
      </c>
      <c r="I51" t="s">
        <v>30</v>
      </c>
      <c r="J51" t="s">
        <v>49</v>
      </c>
      <c r="K51" t="s">
        <v>169</v>
      </c>
    </row>
    <row r="52" spans="1:11" x14ac:dyDescent="0.3">
      <c r="A52" s="4">
        <v>46143</v>
      </c>
      <c r="B52" t="s">
        <v>160</v>
      </c>
      <c r="C52" t="s">
        <v>161</v>
      </c>
      <c r="D52" s="4">
        <v>46144</v>
      </c>
      <c r="E52" t="s">
        <v>25</v>
      </c>
      <c r="F52" s="1">
        <v>46144</v>
      </c>
      <c r="G52" t="s">
        <v>14</v>
      </c>
      <c r="H52" t="s">
        <v>12</v>
      </c>
      <c r="I52" t="s">
        <v>30</v>
      </c>
      <c r="J52" t="s">
        <v>46</v>
      </c>
      <c r="K52" t="s">
        <v>170</v>
      </c>
    </row>
  </sheetData>
  <phoneticPr fontId="1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5E53-96CA-4125-8581-1790961DA901}">
  <sheetPr codeName="Sheet2"/>
  <dimension ref="A3:H59"/>
  <sheetViews>
    <sheetView workbookViewId="0">
      <selection activeCell="A3" sqref="A3"/>
    </sheetView>
  </sheetViews>
  <sheetFormatPr defaultRowHeight="14.4" x14ac:dyDescent="0.3"/>
  <cols>
    <col min="1" max="1" width="25.88671875" bestFit="1" customWidth="1"/>
    <col min="2" max="2" width="15.5546875" bestFit="1" customWidth="1"/>
    <col min="3" max="3" width="9.77734375" bestFit="1" customWidth="1"/>
    <col min="4" max="6" width="8.77734375" bestFit="1" customWidth="1"/>
    <col min="7" max="7" width="7" bestFit="1" customWidth="1"/>
    <col min="8" max="8" width="10.77734375" bestFit="1" customWidth="1"/>
  </cols>
  <sheetData>
    <row r="3" spans="1:8" x14ac:dyDescent="0.3">
      <c r="A3" s="2" t="s">
        <v>0</v>
      </c>
      <c r="B3" t="s">
        <v>174</v>
      </c>
    </row>
    <row r="5" spans="1:8" x14ac:dyDescent="0.3">
      <c r="A5" s="2" t="s">
        <v>175</v>
      </c>
      <c r="B5" s="2" t="s">
        <v>165</v>
      </c>
    </row>
    <row r="6" spans="1:8" x14ac:dyDescent="0.3">
      <c r="A6" s="2" t="s">
        <v>163</v>
      </c>
      <c r="B6" s="1">
        <v>46141</v>
      </c>
      <c r="C6" s="1">
        <v>46142</v>
      </c>
      <c r="D6" s="1">
        <v>46143</v>
      </c>
      <c r="E6" s="1">
        <v>46144</v>
      </c>
      <c r="F6" s="1">
        <v>46145</v>
      </c>
      <c r="G6" t="s">
        <v>172</v>
      </c>
      <c r="H6" t="s">
        <v>164</v>
      </c>
    </row>
    <row r="7" spans="1:8" x14ac:dyDescent="0.3">
      <c r="A7" s="3" t="s">
        <v>25</v>
      </c>
      <c r="B7" s="5"/>
      <c r="C7" s="5"/>
      <c r="D7" s="5">
        <v>15</v>
      </c>
      <c r="E7" s="5">
        <v>10</v>
      </c>
      <c r="F7" s="5">
        <v>9</v>
      </c>
      <c r="G7" s="5"/>
      <c r="H7" s="5">
        <v>34</v>
      </c>
    </row>
    <row r="8" spans="1:8" x14ac:dyDescent="0.3">
      <c r="A8" s="3" t="s">
        <v>16</v>
      </c>
      <c r="B8" s="5">
        <v>8</v>
      </c>
      <c r="C8" s="5">
        <v>9</v>
      </c>
      <c r="D8" s="5"/>
      <c r="E8" s="5"/>
      <c r="F8" s="5"/>
      <c r="G8" s="5"/>
      <c r="H8" s="5">
        <v>17</v>
      </c>
    </row>
    <row r="9" spans="1:8" x14ac:dyDescent="0.3">
      <c r="A9" s="3" t="s">
        <v>172</v>
      </c>
      <c r="B9" s="5"/>
      <c r="C9" s="5"/>
      <c r="D9" s="5"/>
      <c r="E9" s="5"/>
      <c r="F9" s="5"/>
      <c r="G9" s="5"/>
      <c r="H9" s="5"/>
    </row>
    <row r="10" spans="1:8" x14ac:dyDescent="0.3">
      <c r="A10" s="3" t="s">
        <v>164</v>
      </c>
      <c r="B10" s="5">
        <v>8</v>
      </c>
      <c r="C10" s="5">
        <v>9</v>
      </c>
      <c r="D10" s="5">
        <v>15</v>
      </c>
      <c r="E10" s="5">
        <v>10</v>
      </c>
      <c r="F10" s="5">
        <v>9</v>
      </c>
      <c r="G10" s="5"/>
      <c r="H10" s="5">
        <v>51</v>
      </c>
    </row>
    <row r="42" spans="2:4" x14ac:dyDescent="0.3">
      <c r="B42" s="6"/>
      <c r="C42" s="7"/>
      <c r="D42" s="8"/>
    </row>
    <row r="43" spans="2:4" x14ac:dyDescent="0.3">
      <c r="B43" s="9"/>
      <c r="C43" s="10"/>
      <c r="D43" s="11"/>
    </row>
    <row r="44" spans="2:4" x14ac:dyDescent="0.3">
      <c r="B44" s="9"/>
      <c r="C44" s="10"/>
      <c r="D44" s="11"/>
    </row>
    <row r="45" spans="2:4" x14ac:dyDescent="0.3">
      <c r="B45" s="9"/>
      <c r="C45" s="10"/>
      <c r="D45" s="11"/>
    </row>
    <row r="46" spans="2:4" x14ac:dyDescent="0.3">
      <c r="B46" s="9"/>
      <c r="C46" s="10"/>
      <c r="D46" s="11"/>
    </row>
    <row r="47" spans="2:4" x14ac:dyDescent="0.3">
      <c r="B47" s="9"/>
      <c r="C47" s="10"/>
      <c r="D47" s="11"/>
    </row>
    <row r="48" spans="2:4" x14ac:dyDescent="0.3">
      <c r="B48" s="9"/>
      <c r="C48" s="10"/>
      <c r="D48" s="11"/>
    </row>
    <row r="49" spans="2:4" x14ac:dyDescent="0.3">
      <c r="B49" s="9"/>
      <c r="C49" s="10"/>
      <c r="D49" s="11"/>
    </row>
    <row r="50" spans="2:4" x14ac:dyDescent="0.3">
      <c r="B50" s="9"/>
      <c r="C50" s="10"/>
      <c r="D50" s="11"/>
    </row>
    <row r="51" spans="2:4" x14ac:dyDescent="0.3">
      <c r="B51" s="9"/>
      <c r="C51" s="10"/>
      <c r="D51" s="11"/>
    </row>
    <row r="52" spans="2:4" x14ac:dyDescent="0.3">
      <c r="B52" s="9"/>
      <c r="C52" s="10"/>
      <c r="D52" s="11"/>
    </row>
    <row r="53" spans="2:4" x14ac:dyDescent="0.3">
      <c r="B53" s="9"/>
      <c r="C53" s="10"/>
      <c r="D53" s="11"/>
    </row>
    <row r="54" spans="2:4" x14ac:dyDescent="0.3">
      <c r="B54" s="9"/>
      <c r="C54" s="10"/>
      <c r="D54" s="11"/>
    </row>
    <row r="55" spans="2:4" x14ac:dyDescent="0.3">
      <c r="B55" s="9"/>
      <c r="C55" s="10"/>
      <c r="D55" s="11"/>
    </row>
    <row r="56" spans="2:4" x14ac:dyDescent="0.3">
      <c r="B56" s="9"/>
      <c r="C56" s="10"/>
      <c r="D56" s="11"/>
    </row>
    <row r="57" spans="2:4" x14ac:dyDescent="0.3">
      <c r="B57" s="9"/>
      <c r="C57" s="10"/>
      <c r="D57" s="11"/>
    </row>
    <row r="58" spans="2:4" x14ac:dyDescent="0.3">
      <c r="B58" s="9"/>
      <c r="C58" s="10"/>
      <c r="D58" s="11"/>
    </row>
    <row r="59" spans="2:4" x14ac:dyDescent="0.3">
      <c r="B59" s="12"/>
      <c r="C59" s="13"/>
      <c r="D59" s="14"/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56C3-187E-43D1-9B61-68DA32935F64}">
  <sheetPr codeName="Sheet3"/>
  <dimension ref="A2:E6"/>
  <sheetViews>
    <sheetView workbookViewId="0">
      <selection activeCell="A4" sqref="A4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3" width="3.77734375" bestFit="1" customWidth="1"/>
    <col min="4" max="4" width="7" bestFit="1" customWidth="1"/>
    <col min="5" max="5" width="10.77734375" bestFit="1" customWidth="1"/>
    <col min="6" max="6" width="8.44140625" bestFit="1" customWidth="1"/>
    <col min="7" max="7" width="9" bestFit="1" customWidth="1"/>
    <col min="8" max="8" width="11.6640625" bestFit="1" customWidth="1"/>
    <col min="9" max="10" width="10.77734375" bestFit="1" customWidth="1"/>
  </cols>
  <sheetData>
    <row r="2" spans="1:5" x14ac:dyDescent="0.3">
      <c r="A2" s="2" t="s">
        <v>0</v>
      </c>
      <c r="B2" t="s">
        <v>174</v>
      </c>
    </row>
    <row r="4" spans="1:5" x14ac:dyDescent="0.3">
      <c r="B4" s="2" t="s">
        <v>165</v>
      </c>
    </row>
    <row r="5" spans="1:5" x14ac:dyDescent="0.3">
      <c r="B5" t="s">
        <v>14</v>
      </c>
      <c r="C5" t="s">
        <v>12</v>
      </c>
      <c r="D5" t="s">
        <v>172</v>
      </c>
      <c r="E5" t="s">
        <v>164</v>
      </c>
    </row>
    <row r="6" spans="1:5" x14ac:dyDescent="0.3">
      <c r="A6" t="s">
        <v>171</v>
      </c>
      <c r="B6" s="5">
        <v>19</v>
      </c>
      <c r="C6" s="5">
        <v>32</v>
      </c>
      <c r="D6" s="5"/>
      <c r="E6" s="5">
        <v>51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400C-F31E-427C-982E-56ABF0CE0FE7}">
  <dimension ref="A3:E5"/>
  <sheetViews>
    <sheetView workbookViewId="0">
      <selection activeCell="O13" sqref="O13"/>
    </sheetView>
  </sheetViews>
  <sheetFormatPr defaultRowHeight="14.4" x14ac:dyDescent="0.3"/>
  <cols>
    <col min="1" max="1" width="20.33203125" bestFit="1" customWidth="1"/>
    <col min="2" max="2" width="15.5546875" bestFit="1" customWidth="1"/>
    <col min="3" max="3" width="7.88671875" bestFit="1" customWidth="1"/>
    <col min="4" max="4" width="7" bestFit="1" customWidth="1"/>
    <col min="5" max="5" width="10.77734375" bestFit="1" customWidth="1"/>
    <col min="6" max="6" width="8.33203125" bestFit="1" customWidth="1"/>
    <col min="7" max="8" width="13.33203125" bestFit="1" customWidth="1"/>
    <col min="9" max="9" width="15.5546875" bestFit="1" customWidth="1"/>
    <col min="10" max="10" width="11.44140625" bestFit="1" customWidth="1"/>
    <col min="11" max="11" width="10.88671875" bestFit="1" customWidth="1"/>
    <col min="12" max="12" width="11.21875" bestFit="1" customWidth="1"/>
    <col min="13" max="13" width="10.5546875" bestFit="1" customWidth="1"/>
    <col min="14" max="14" width="10.44140625" bestFit="1" customWidth="1"/>
    <col min="15" max="15" width="11.88671875" bestFit="1" customWidth="1"/>
    <col min="16" max="16" width="12" bestFit="1" customWidth="1"/>
    <col min="17" max="17" width="11.109375" bestFit="1" customWidth="1"/>
    <col min="18" max="18" width="12.44140625" bestFit="1" customWidth="1"/>
    <col min="19" max="19" width="9.44140625" bestFit="1" customWidth="1"/>
    <col min="20" max="20" width="11.21875" bestFit="1" customWidth="1"/>
    <col min="21" max="21" width="12.21875" bestFit="1" customWidth="1"/>
    <col min="22" max="22" width="12.6640625" bestFit="1" customWidth="1"/>
    <col min="23" max="23" width="9.33203125" bestFit="1" customWidth="1"/>
    <col min="24" max="24" width="9.5546875" bestFit="1" customWidth="1"/>
    <col min="25" max="25" width="10.33203125" bestFit="1" customWidth="1"/>
    <col min="26" max="26" width="12.33203125" bestFit="1" customWidth="1"/>
    <col min="27" max="27" width="10.33203125" bestFit="1" customWidth="1"/>
    <col min="28" max="28" width="11.77734375" bestFit="1" customWidth="1"/>
    <col min="29" max="29" width="8.6640625" bestFit="1" customWidth="1"/>
    <col min="30" max="30" width="11.109375" bestFit="1" customWidth="1"/>
    <col min="31" max="31" width="11.21875" bestFit="1" customWidth="1"/>
    <col min="32" max="32" width="10.6640625" bestFit="1" customWidth="1"/>
    <col min="33" max="33" width="11.21875" bestFit="1" customWidth="1"/>
    <col min="34" max="34" width="10.6640625" bestFit="1" customWidth="1"/>
    <col min="35" max="35" width="8.88671875" bestFit="1" customWidth="1"/>
    <col min="36" max="36" width="13.109375" bestFit="1" customWidth="1"/>
    <col min="37" max="37" width="11" bestFit="1" customWidth="1"/>
    <col min="38" max="38" width="10.33203125" bestFit="1" customWidth="1"/>
    <col min="39" max="39" width="12.109375" bestFit="1" customWidth="1"/>
    <col min="40" max="40" width="13.6640625" bestFit="1" customWidth="1"/>
    <col min="41" max="41" width="11.88671875" bestFit="1" customWidth="1"/>
    <col min="42" max="42" width="12.5546875" bestFit="1" customWidth="1"/>
    <col min="43" max="43" width="13.33203125" bestFit="1" customWidth="1"/>
    <col min="44" max="44" width="12.21875" bestFit="1" customWidth="1"/>
    <col min="45" max="45" width="12.44140625" bestFit="1" customWidth="1"/>
    <col min="46" max="46" width="12" bestFit="1" customWidth="1"/>
    <col min="47" max="47" width="11" bestFit="1" customWidth="1"/>
    <col min="48" max="48" width="7" bestFit="1" customWidth="1"/>
    <col min="49" max="49" width="10.77734375" bestFit="1" customWidth="1"/>
    <col min="50" max="50" width="17.21875" bestFit="1" customWidth="1"/>
    <col min="51" max="51" width="12.33203125" bestFit="1" customWidth="1"/>
    <col min="52" max="52" width="15.109375" bestFit="1" customWidth="1"/>
    <col min="53" max="53" width="13.77734375" bestFit="1" customWidth="1"/>
    <col min="54" max="54" width="16.5546875" bestFit="1" customWidth="1"/>
    <col min="55" max="55" width="10.6640625" bestFit="1" customWidth="1"/>
    <col min="56" max="56" width="13.44140625" bestFit="1" customWidth="1"/>
    <col min="57" max="57" width="13.109375" bestFit="1" customWidth="1"/>
    <col min="58" max="58" width="15.88671875" bestFit="1" customWidth="1"/>
    <col min="59" max="59" width="13.21875" bestFit="1" customWidth="1"/>
    <col min="60" max="60" width="16" bestFit="1" customWidth="1"/>
    <col min="61" max="61" width="12.6640625" bestFit="1" customWidth="1"/>
    <col min="62" max="62" width="15.44140625" bestFit="1" customWidth="1"/>
    <col min="63" max="63" width="13.21875" bestFit="1" customWidth="1"/>
    <col min="64" max="64" width="16" bestFit="1" customWidth="1"/>
    <col min="65" max="65" width="12.6640625" bestFit="1" customWidth="1"/>
    <col min="66" max="66" width="15.44140625" bestFit="1" customWidth="1"/>
    <col min="67" max="67" width="10.88671875" bestFit="1" customWidth="1"/>
    <col min="68" max="68" width="13.6640625" bestFit="1" customWidth="1"/>
    <col min="69" max="69" width="15.109375" bestFit="1" customWidth="1"/>
    <col min="70" max="70" width="17.88671875" bestFit="1" customWidth="1"/>
    <col min="71" max="71" width="13" bestFit="1" customWidth="1"/>
    <col min="72" max="72" width="15.77734375" bestFit="1" customWidth="1"/>
    <col min="73" max="73" width="12.33203125" bestFit="1" customWidth="1"/>
    <col min="74" max="74" width="15.109375" bestFit="1" customWidth="1"/>
    <col min="75" max="75" width="14.109375" bestFit="1" customWidth="1"/>
    <col min="76" max="76" width="16.88671875" bestFit="1" customWidth="1"/>
    <col min="77" max="77" width="15.6640625" bestFit="1" customWidth="1"/>
    <col min="78" max="78" width="18.44140625" bestFit="1" customWidth="1"/>
    <col min="79" max="79" width="13.88671875" bestFit="1" customWidth="1"/>
    <col min="80" max="80" width="16.6640625" bestFit="1" customWidth="1"/>
    <col min="81" max="81" width="14.5546875" bestFit="1" customWidth="1"/>
    <col min="82" max="82" width="17.44140625" bestFit="1" customWidth="1"/>
    <col min="83" max="83" width="15.33203125" bestFit="1" customWidth="1"/>
    <col min="84" max="84" width="18.109375" bestFit="1" customWidth="1"/>
    <col min="85" max="85" width="14.21875" bestFit="1" customWidth="1"/>
    <col min="86" max="86" width="17" bestFit="1" customWidth="1"/>
    <col min="87" max="87" width="14.44140625" bestFit="1" customWidth="1"/>
    <col min="88" max="88" width="17.33203125" bestFit="1" customWidth="1"/>
    <col min="89" max="89" width="14" bestFit="1" customWidth="1"/>
    <col min="90" max="90" width="16.77734375" bestFit="1" customWidth="1"/>
    <col min="91" max="91" width="13" bestFit="1" customWidth="1"/>
    <col min="92" max="92" width="15.77734375" bestFit="1" customWidth="1"/>
    <col min="93" max="93" width="9" bestFit="1" customWidth="1"/>
    <col min="94" max="94" width="11.6640625" bestFit="1" customWidth="1"/>
    <col min="95" max="95" width="10.77734375" bestFit="1" customWidth="1"/>
  </cols>
  <sheetData>
    <row r="3" spans="1:5" x14ac:dyDescent="0.3">
      <c r="B3" s="2" t="s">
        <v>165</v>
      </c>
    </row>
    <row r="4" spans="1:5" x14ac:dyDescent="0.3">
      <c r="B4" t="s">
        <v>26</v>
      </c>
      <c r="C4" t="s">
        <v>30</v>
      </c>
      <c r="D4" t="s">
        <v>172</v>
      </c>
      <c r="E4" t="s">
        <v>164</v>
      </c>
    </row>
    <row r="5" spans="1:5" x14ac:dyDescent="0.3">
      <c r="A5" t="s">
        <v>173</v>
      </c>
      <c r="B5" s="5">
        <v>24</v>
      </c>
      <c r="C5" s="5">
        <v>27</v>
      </c>
      <c r="D5" s="5"/>
      <c r="E5" s="5">
        <v>51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D41A1A-4C8A-4CD7-A79A-77D0CB09E9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Raw Data</vt:lpstr>
      <vt:lpstr>Payment Status Overview</vt:lpstr>
      <vt:lpstr>Communication Tracker</vt:lpstr>
      <vt:lpstr>Accountant 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 S E R - P C</dc:creator>
  <cp:lastModifiedBy>Eisen Rivera</cp:lastModifiedBy>
  <dcterms:created xsi:type="dcterms:W3CDTF">2026-05-04T05:25:06Z</dcterms:created>
  <dcterms:modified xsi:type="dcterms:W3CDTF">2026-05-04T07:56:09Z</dcterms:modified>
</cp:coreProperties>
</file>